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3300" windowHeight="14300" tabRatio="600" firstSheet="2" activeTab="4" autoFilterDateGrouping="1"/>
  </bookViews>
  <sheets>
    <sheet xmlns:r="http://schemas.openxmlformats.org/officeDocument/2006/relationships" name="Centralizator" sheetId="1" state="visible" r:id="rId1"/>
    <sheet xmlns:r="http://schemas.openxmlformats.org/officeDocument/2006/relationships" name="B-Reviste" sheetId="2" state="visible" r:id="rId2"/>
    <sheet xmlns:r="http://schemas.openxmlformats.org/officeDocument/2006/relationships" name="B-Conferinte" sheetId="3" state="visible" r:id="rId3"/>
    <sheet xmlns:r="http://schemas.openxmlformats.org/officeDocument/2006/relationships" name="C-Citari-centralizare" sheetId="4" state="visible" r:id="rId4"/>
    <sheet xmlns:r="http://schemas.openxmlformats.org/officeDocument/2006/relationships" name="C-Citari-TPL" sheetId="5" state="visible" r:id="rId5"/>
    <sheet xmlns:r="http://schemas.openxmlformats.org/officeDocument/2006/relationships" name="D-Perspectiva D" sheetId="6" state="visible" r:id="rId6"/>
    <sheet xmlns:r="http://schemas.openxmlformats.org/officeDocument/2006/relationships" name="Indicatorul I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6"/>
      <scheme val="minor"/>
    </font>
    <font>
      <name val="Calibri"/>
      <family val="2"/>
      <color theme="1"/>
      <sz val="7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2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2" borderId="6" pivotButton="0" quotePrefix="0" xfId="0"/>
    <xf numFmtId="0" fontId="0" fillId="4" borderId="1" pivotButton="0" quotePrefix="0" xfId="0"/>
    <xf numFmtId="0" fontId="0" fillId="0" borderId="2" applyAlignment="1" pivotButton="0" quotePrefix="0" xfId="0">
      <alignment horizontal="left" wrapText="1"/>
    </xf>
    <xf numFmtId="0" fontId="0" fillId="0" borderId="2" applyAlignment="1" pivotButton="0" quotePrefix="0" xfId="0">
      <alignment horizont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2" borderId="11" applyAlignment="1" pivotButton="0" quotePrefix="0" xfId="0">
      <alignment horizontal="center" wrapText="1"/>
    </xf>
    <xf numFmtId="0" fontId="0" fillId="2" borderId="13" applyAlignment="1" pivotButton="0" quotePrefix="0" xfId="0">
      <alignment horizontal="center" wrapText="1"/>
    </xf>
    <xf numFmtId="0" fontId="0" fillId="2" borderId="13" applyAlignment="1" pivotButton="0" quotePrefix="0" xfId="0">
      <alignment horizontal="center"/>
    </xf>
    <xf numFmtId="0" fontId="0" fillId="0" borderId="15" applyAlignment="1" pivotButton="0" quotePrefix="0" xfId="0">
      <alignment horizontal="left" wrapText="1"/>
    </xf>
    <xf numFmtId="0" fontId="0" fillId="2" borderId="17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0" borderId="10" applyAlignment="1" pivotButton="0" quotePrefix="0" xfId="0">
      <alignment horizontal="left" wrapText="1"/>
    </xf>
    <xf numFmtId="2" fontId="0" fillId="0" borderId="1" pivotButton="0" quotePrefix="0" xfId="0"/>
    <xf numFmtId="2" fontId="0" fillId="2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2" fontId="0" fillId="2" borderId="10" applyAlignment="1" pivotButton="0" quotePrefix="0" xfId="0">
      <alignment horizontal="center" vertical="center"/>
    </xf>
    <xf numFmtId="2" fontId="0" fillId="2" borderId="7" applyAlignment="1" pivotButton="0" quotePrefix="0" xfId="0">
      <alignment horizontal="center" vertical="center"/>
    </xf>
    <xf numFmtId="2" fontId="0" fillId="2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4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20" applyAlignment="1" pivotButton="0" quotePrefix="0" xfId="0">
      <alignment horizontal="center" vertical="center" wrapText="1"/>
    </xf>
    <xf numFmtId="2" fontId="0" fillId="2" borderId="18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2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J39"/>
  <sheetViews>
    <sheetView topLeftCell="A4" workbookViewId="0">
      <selection activeCell="E15" sqref="E15"/>
    </sheetView>
  </sheetViews>
  <sheetFormatPr baseColWidth="10" defaultColWidth="8.83203125" defaultRowHeight="15"/>
  <cols>
    <col width="15.5" customWidth="1" min="2" max="2"/>
    <col width="64.83203125" customWidth="1" min="3" max="3"/>
    <col width="8.6640625" bestFit="1" customWidth="1" min="4" max="4"/>
    <col width="10.33203125" customWidth="1" min="5" max="5"/>
    <col width="11.83203125" customWidth="1" min="6" max="6"/>
  </cols>
  <sheetData>
    <row r="5" ht="26.5" customHeight="1"/>
    <row r="6" ht="49" customHeight="1" thickBot="1">
      <c r="B6" s="19" t="inlineStr">
        <is>
          <t>Criteriu</t>
        </is>
      </c>
      <c r="C6" s="19" t="inlineStr">
        <is>
          <t>Praguri (conform documentului Anexa2-Informatica.pdf) vezi http://informatica-universitaria.ro/ppages/16/</t>
        </is>
      </c>
      <c r="D6" s="20" t="inlineStr">
        <is>
          <t>Realizat</t>
        </is>
      </c>
      <c r="E6" s="19" t="inlineStr">
        <is>
          <t>Criteriu îndeplinit (DA/NU)</t>
        </is>
      </c>
    </row>
    <row r="7" ht="16" customHeight="1">
      <c r="B7" s="74" t="inlineStr">
        <is>
          <t>Perspectiva B</t>
        </is>
      </c>
      <c r="C7" s="22" t="inlineStr">
        <is>
          <t>asistent: 2 (oricare dintre categorii)</t>
        </is>
      </c>
      <c r="D7" s="75">
        <f>'B-Reviste'!J23+'B-Conferinte'!K25</f>
        <v/>
      </c>
      <c r="E7" s="23">
        <f>IF(D7&gt;=2,IF('B-Reviste'!J15&gt;=OR2*('B-Conferinte'!K15&gt;=2),"DA","NU"),"NU")</f>
        <v/>
      </c>
    </row>
    <row r="8" ht="16" customHeight="1">
      <c r="B8" s="76" t="n"/>
      <c r="C8" s="21" t="inlineStr">
        <is>
          <t>lector: 12 (oricare dintre categorii)</t>
        </is>
      </c>
      <c r="D8" s="77" t="n"/>
      <c r="E8" s="24">
        <f>IF(D7&gt;=12,"DA","NU")</f>
        <v/>
      </c>
    </row>
    <row r="9" ht="16" customHeight="1">
      <c r="B9" s="76" t="n"/>
      <c r="C9" s="3" t="inlineStr">
        <is>
          <t>conferențiar: 32 (din care 16 de categ A*, A sau B)</t>
        </is>
      </c>
      <c r="D9" s="77" t="n"/>
      <c r="E9" s="25">
        <f>IF(D7&gt;=32,IF('B-Reviste'!J22+'B-Conferinte'!K24&gt;=16,"DA","NU"),"NU")</f>
        <v/>
      </c>
      <c r="F9" s="1" t="n"/>
    </row>
    <row r="10" ht="15.75" customHeight="1" thickBot="1">
      <c r="B10" s="78" t="n"/>
      <c r="C10" s="26" t="inlineStr">
        <is>
          <t>profesor: 56 (din care 24 de categ A* sau A și 40 de categ A* sau A sau B)</t>
        </is>
      </c>
      <c r="D10" s="79" t="n"/>
      <c r="E10" s="27">
        <f>IF(D7&gt;=56,IF('B-Reviste'!J22+'B-Conferinte'!K24&gt;=40,IF('B-Reviste'!J17+'B-Reviste'!J18+'B-Conferinte'!K19+'B-Conferinte'!K20&gt;=24,"DA","NU"),"NU"),"NU")</f>
        <v/>
      </c>
      <c r="F10" s="1" t="n"/>
    </row>
    <row r="11" ht="15.75" customHeight="1">
      <c r="B11" s="74" t="inlineStr">
        <is>
          <t>Perspectiva C</t>
        </is>
      </c>
      <c r="C11" s="22" t="inlineStr">
        <is>
          <t>asistent: nu se impune prag</t>
        </is>
      </c>
      <c r="D11" s="75">
        <f>'C-Citari-centralizare'!J13</f>
        <v/>
      </c>
      <c r="E11" s="28">
        <f>IF(D11&gt;=0,IF('C-Citari-centralizare'!J12&gt;=12,"DA","NU"),"NU")</f>
        <v/>
      </c>
      <c r="F11" s="1" t="n"/>
    </row>
    <row r="12" ht="15.75" customHeight="1">
      <c r="B12" s="76" t="n"/>
      <c r="C12" s="21" t="inlineStr">
        <is>
          <t>lector: 10 ( oricare dintre categorii)</t>
        </is>
      </c>
      <c r="D12" s="77" t="n"/>
      <c r="E12" s="25">
        <f>IF(D11&gt;=10,IF('C-Citari-centralizare'!J12&gt;=10,"DA","NU"),"NU")</f>
        <v/>
      </c>
      <c r="F12" s="1" t="n"/>
    </row>
    <row r="13" ht="16" customHeight="1">
      <c r="B13" s="76" t="n"/>
      <c r="C13" s="3" t="inlineStr">
        <is>
          <t>conferențiar: 48 (din care 12 de categ A*, A sau B)</t>
        </is>
      </c>
      <c r="D13" s="77" t="n"/>
      <c r="E13" s="25">
        <f>IF(D11&gt;=48,IF('C-Citari-centralizare'!J12&gt;=12,"DA","NU"),"NU")</f>
        <v/>
      </c>
      <c r="F13" s="1" t="n"/>
    </row>
    <row r="14" ht="17" customHeight="1" thickBot="1">
      <c r="B14" s="78" t="n"/>
      <c r="C14" s="26" t="inlineStr">
        <is>
          <t>profesor: 120 (din care 40 de categ A*, A sau B)</t>
        </is>
      </c>
      <c r="D14" s="79" t="n"/>
      <c r="E14" s="27">
        <f>IF(D11&gt;=120,IF('C-Citari-centralizare'!J12&gt;=40,"DA","NU"),"NU")</f>
        <v/>
      </c>
      <c r="F14" s="1" t="n"/>
      <c r="J14" t="inlineStr">
        <is>
          <t>ISI WoS</t>
        </is>
      </c>
    </row>
    <row r="15" ht="16" customHeight="1">
      <c r="B15" s="74" t="inlineStr">
        <is>
          <t>Perspectiva D</t>
        </is>
      </c>
      <c r="C15" s="22" t="inlineStr">
        <is>
          <t>asistent: nu se impune prag</t>
        </is>
      </c>
      <c r="D15" s="75">
        <f>'D-Perspectiva D'!K22</f>
        <v/>
      </c>
      <c r="E15" s="28">
        <f>IF(D15&gt;=0,"DA","NU")</f>
        <v/>
      </c>
      <c r="F15" s="1" t="n"/>
    </row>
    <row r="16" ht="16" customHeight="1">
      <c r="B16" s="76" t="n"/>
      <c r="C16" s="21" t="inlineStr">
        <is>
          <t>lector: 4</t>
        </is>
      </c>
      <c r="D16" s="77" t="n"/>
      <c r="E16" s="25">
        <f>IF(D15&gt;=4,"DA","NU")</f>
        <v/>
      </c>
      <c r="F16" s="1" t="n"/>
    </row>
    <row r="17" ht="16" customHeight="1">
      <c r="B17" s="76" t="n"/>
      <c r="C17" s="3" t="inlineStr">
        <is>
          <t>conferențiar: 36</t>
        </is>
      </c>
      <c r="D17" s="77" t="n"/>
      <c r="E17" s="25">
        <f>IF(D15&gt;=36,"DA","NU")</f>
        <v/>
      </c>
      <c r="F17" s="1" t="n"/>
      <c r="J17" t="inlineStr">
        <is>
          <t>Scopus</t>
        </is>
      </c>
    </row>
    <row r="18" ht="17" customHeight="1" thickBot="1">
      <c r="B18" s="78" t="n"/>
      <c r="C18" s="26" t="inlineStr">
        <is>
          <t>profesor: 60</t>
        </is>
      </c>
      <c r="D18" s="79" t="n"/>
      <c r="E18" s="27">
        <f>IF(D15&gt;=60,"DA","NU")</f>
        <v/>
      </c>
      <c r="F18" s="1" t="n"/>
      <c r="J18" t="inlineStr">
        <is>
          <t>Google Scholar</t>
        </is>
      </c>
    </row>
    <row r="19" ht="16" customHeight="1">
      <c r="B19" s="80" t="inlineStr">
        <is>
          <t>TOTAL</t>
        </is>
      </c>
      <c r="C19" s="29" t="inlineStr">
        <is>
          <t>asistent: 2 pct</t>
        </is>
      </c>
      <c r="D19" s="75">
        <f>SUM(D7:D18)</f>
        <v/>
      </c>
      <c r="E19" s="28">
        <f>IF(AND(E7="DA",E11="DA",E15="DA",D19&gt;=2),"DA","NU")</f>
        <v/>
      </c>
      <c r="F19" s="1" t="n"/>
    </row>
    <row r="20" ht="16" customHeight="1">
      <c r="B20" s="76" t="n"/>
      <c r="C20" s="18" t="inlineStr">
        <is>
          <t>lector: 26 pct</t>
        </is>
      </c>
      <c r="D20" s="77" t="n"/>
      <c r="E20" s="25">
        <f>IF(AND(E8="DA",E12="DA",E16="DA",D19&gt;=26),"DA","NU")</f>
        <v/>
      </c>
      <c r="F20" s="1" t="n"/>
    </row>
    <row r="21" ht="16" customHeight="1">
      <c r="B21" s="76" t="n"/>
      <c r="C21" s="3" t="inlineStr">
        <is>
          <t>conferențiar: 116 pct</t>
        </is>
      </c>
      <c r="D21" s="77" t="n"/>
      <c r="E21" s="25">
        <f>IF(AND(E9="DA",E13="DA",E17="DA",D19&gt;=116),"DA","NU")</f>
        <v/>
      </c>
      <c r="F21" s="1" t="n"/>
    </row>
    <row r="22" ht="17" customHeight="1" thickBot="1">
      <c r="B22" s="78" t="n"/>
      <c r="C22" s="26" t="inlineStr">
        <is>
          <t>Profesor: 236 pct</t>
        </is>
      </c>
      <c r="D22" s="79" t="n"/>
      <c r="E22" s="27">
        <f>IF(AND(E10="DA",E14="DA",E18="DA",D19&gt;=116),"DA","NU")</f>
        <v/>
      </c>
      <c r="F22" s="1" t="n"/>
    </row>
    <row r="23">
      <c r="B23" s="74" t="inlineStr">
        <is>
          <t>Publicații A*+A</t>
        </is>
      </c>
      <c r="C23" s="22" t="inlineStr">
        <is>
          <t>conferențiar/profesor: 24 (categ A* sau A); abilitare: 12</t>
        </is>
      </c>
      <c r="D23" s="75">
        <f>'B-Reviste'!J17+'B-Reviste'!J18+'B-Conferinte'!K19+'B-Conferinte'!K20</f>
        <v/>
      </c>
      <c r="E23" s="28">
        <f>IF(D23&gt;=24,"DA","NU")</f>
        <v/>
      </c>
    </row>
    <row r="24">
      <c r="B24" s="74" t="inlineStr">
        <is>
          <t>Perspectiva D — proiect director</t>
        </is>
      </c>
      <c r="C24" s="22" t="inlineStr">
        <is>
          <t>Minim un proiect de cercetare-dezvoltare-inovare ca director, prin competiție, ≥50.000 EUR (echipă ≥2+director — declarativ)</t>
        </is>
      </c>
      <c r="D24" s="75">
        <f>'D-Perspectiva D'!K24</f>
        <v/>
      </c>
      <c r="E24" s="28">
        <f>IF(D24&gt;=1,"DA","NU")</f>
        <v/>
      </c>
    </row>
    <row r="25" ht="16" customHeight="1">
      <c r="B25" s="56" t="inlineStr">
        <is>
          <t>Indicele h (Hirsch)</t>
        </is>
      </c>
      <c r="C25" s="3" t="inlineStr">
        <is>
          <t>ISI WoS</t>
        </is>
      </c>
      <c r="D25" s="33" t="n">
        <v>0</v>
      </c>
      <c r="E25" s="81" t="n"/>
    </row>
    <row r="26" ht="16" customHeight="1">
      <c r="B26" s="77" t="n"/>
      <c r="C26" s="3" t="inlineStr">
        <is>
          <t>SCOPUS</t>
        </is>
      </c>
      <c r="D26" s="33" t="n">
        <v>0</v>
      </c>
      <c r="E26" s="77" t="n"/>
    </row>
    <row r="27" ht="16" customHeight="1">
      <c r="B27" s="82" t="n"/>
      <c r="C27" s="3" t="inlineStr">
        <is>
          <t>Google Scholar</t>
        </is>
      </c>
      <c r="D27" s="33" t="n">
        <v>0</v>
      </c>
      <c r="E27" s="82" t="n"/>
    </row>
    <row r="29">
      <c r="B29" t="inlineStr">
        <is>
          <t>Notă: ÎN Tabelele ce calcul A* este înlocuit cu AA pentru a nu se confunda în formula de calcul</t>
        </is>
      </c>
      <c r="H29" t="inlineStr">
        <is>
          <t>Legenda</t>
        </is>
      </c>
    </row>
    <row r="30">
      <c r="H30" s="10" t="n"/>
      <c r="I30" t="inlineStr">
        <is>
          <t>necesita actualizare referinte</t>
        </is>
      </c>
    </row>
    <row r="31">
      <c r="H31" s="11" t="n"/>
      <c r="I31" t="inlineStr">
        <is>
          <t>autocalculat</t>
        </is>
      </c>
    </row>
    <row r="32">
      <c r="H32" s="12" t="n"/>
      <c r="I32" t="inlineStr">
        <is>
          <t>autocalculat dar necesita actualizare formule</t>
        </is>
      </c>
    </row>
    <row r="33">
      <c r="H33" s="13" t="n"/>
      <c r="I33" t="inlineStr">
        <is>
          <t>nu se completeaza</t>
        </is>
      </c>
    </row>
    <row r="35">
      <c r="B35" s="80" t="inlineStr">
        <is>
          <t>Abilitare</t>
        </is>
      </c>
      <c r="C35" s="19" t="inlineStr">
        <is>
          <t>Praguri pentru abilitare (2026)</t>
        </is>
      </c>
    </row>
    <row r="36">
      <c r="C36" s="22" t="inlineStr">
        <is>
          <t>Perspectiva B: 44 (din care 28 de categ A*+A+B și 12 de categ A* sau A)</t>
        </is>
      </c>
      <c r="D36" s="75">
        <f>D7</f>
        <v/>
      </c>
      <c r="E36" s="28">
        <f>IF(AND(D36&gt;=44,'B-Reviste'!J22+'B-Conferinte'!K24&gt;=28,('B-Reviste'!J17+'B-Reviste'!J18+'B-Conferinte'!K19+'B-Conferinte'!K20)&gt;=12),"DA","NU")</f>
        <v/>
      </c>
    </row>
    <row r="37">
      <c r="C37" s="22" t="inlineStr">
        <is>
          <t>Perspectiva C: 84 (din care 26 de categ A*, A sau B)</t>
        </is>
      </c>
      <c r="D37" s="75">
        <f>D11</f>
        <v/>
      </c>
      <c r="E37" s="28">
        <f>IF(AND(D37&gt;=84,'C-Citari-centralizare'!J12&gt;=26),"DA","NU")</f>
        <v/>
      </c>
    </row>
    <row r="38">
      <c r="C38" s="22" t="inlineStr">
        <is>
          <t>Perspectiva D: 48</t>
        </is>
      </c>
      <c r="D38" s="75">
        <f>D15</f>
        <v/>
      </c>
      <c r="E38" s="28">
        <f>IF(D38&gt;=48,"DA","NU")</f>
        <v/>
      </c>
    </row>
    <row r="39">
      <c r="B39" s="80" t="inlineStr">
        <is>
          <t>TOTAL abilitare</t>
        </is>
      </c>
      <c r="C39" s="29" t="inlineStr">
        <is>
          <t>toate cele trei perspective îndeplinite</t>
        </is>
      </c>
      <c r="E39" s="28">
        <f>IF(AND(E36="DA",E37="DA",E38="DA"),"DA","NU")</f>
        <v/>
      </c>
    </row>
  </sheetData>
  <mergeCells count="10">
    <mergeCell ref="E25:E27"/>
    <mergeCell ref="B19:B22"/>
    <mergeCell ref="B25:B27"/>
    <mergeCell ref="B15:B18"/>
    <mergeCell ref="B7:B10"/>
    <mergeCell ref="B11:B14"/>
    <mergeCell ref="D15:D18"/>
    <mergeCell ref="D19:D22"/>
    <mergeCell ref="D11:D14"/>
    <mergeCell ref="D7:D10"/>
  </mergeCells>
  <pageMargins left="0.7" right="0.7" top="0.75" bottom="0.75" header="0.3" footer="0.3"/>
  <pageSetup orientation="landscape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R23"/>
  <sheetViews>
    <sheetView zoomScaleNormal="100" workbookViewId="0">
      <selection activeCell="N8" sqref="N8"/>
    </sheetView>
  </sheetViews>
  <sheetFormatPr baseColWidth="10" defaultColWidth="8.83203125" defaultRowHeight="15"/>
  <cols>
    <col width="5.5" customWidth="1" min="1" max="1"/>
    <col width="6.33203125" bestFit="1" customWidth="1" min="2" max="2"/>
    <col width="27.33203125" customWidth="1" min="3" max="3"/>
    <col width="7.33203125" customWidth="1" min="6" max="6"/>
    <col width="5.6640625" customWidth="1" min="7" max="7"/>
    <col width="6.5" customWidth="1" min="9" max="9"/>
    <col width="6.83203125" customWidth="1" min="10" max="10"/>
  </cols>
  <sheetData>
    <row r="3">
      <c r="Q3" t="inlineStr">
        <is>
          <t>Legenda</t>
        </is>
      </c>
    </row>
    <row r="4" ht="47.5" customHeight="1">
      <c r="Q4" s="10" t="n"/>
      <c r="R4" t="inlineStr">
        <is>
          <t>necesita actualizare referinte</t>
        </is>
      </c>
    </row>
    <row r="5">
      <c r="C5" s="54" t="inlineStr">
        <is>
          <t xml:space="preserve">A. LUCRĂRI PUBLICATE ÎN REVISTE </t>
        </is>
      </c>
      <c r="Q5" s="11" t="n"/>
      <c r="R5" t="inlineStr">
        <is>
          <t>autocalculat</t>
        </is>
      </c>
    </row>
    <row r="6">
      <c r="B6" s="56" t="inlineStr">
        <is>
          <t>Nr.crt.</t>
        </is>
      </c>
      <c r="C6" s="56" t="inlineStr">
        <is>
          <t>Titlu</t>
        </is>
      </c>
      <c r="D6" s="56" t="inlineStr">
        <is>
          <t>Autori</t>
        </is>
      </c>
      <c r="E6" s="56" t="inlineStr">
        <is>
          <t>Revista</t>
        </is>
      </c>
      <c r="F6" s="56" t="inlineStr">
        <is>
          <t>Volum, nr., pg.</t>
        </is>
      </c>
      <c r="G6" s="56" t="inlineStr">
        <is>
          <t>An</t>
        </is>
      </c>
      <c r="H6" s="56" t="inlineStr">
        <is>
          <t>Categorie forum</t>
        </is>
      </c>
      <c r="I6" s="56" t="inlineStr">
        <is>
          <t>Nr. autori</t>
        </is>
      </c>
      <c r="J6" s="56" t="inlineStr">
        <is>
          <t>Punctaj P</t>
        </is>
      </c>
      <c r="K6" s="51" t="inlineStr">
        <is>
          <t>Citări</t>
        </is>
      </c>
      <c r="L6" s="83" t="n"/>
      <c r="M6" s="56" t="inlineStr">
        <is>
          <t>Punctaj Citari</t>
        </is>
      </c>
      <c r="Q6" s="12" t="n"/>
      <c r="R6" t="inlineStr">
        <is>
          <t>autocalculat dar necesita actualizare formule</t>
        </is>
      </c>
    </row>
    <row r="7" ht="16" customHeight="1">
      <c r="B7" s="82" t="n"/>
      <c r="C7" s="82" t="n"/>
      <c r="D7" s="82" t="n"/>
      <c r="E7" s="82" t="n"/>
      <c r="F7" s="82" t="n"/>
      <c r="G7" s="82" t="n"/>
      <c r="H7" s="82" t="n"/>
      <c r="I7" s="82" t="n"/>
      <c r="J7" s="82" t="n"/>
      <c r="K7" s="56" t="inlineStr">
        <is>
          <t>număr</t>
        </is>
      </c>
      <c r="L7" s="56" t="inlineStr">
        <is>
          <t>punctaj</t>
        </is>
      </c>
      <c r="M7" s="82" t="n"/>
    </row>
    <row r="8" ht="32" customHeight="1">
      <c r="B8" s="56" t="n">
        <v>1</v>
      </c>
      <c r="C8" s="3" t="inlineStr">
        <is>
          <t>Titlu articol</t>
        </is>
      </c>
      <c r="D8" s="14" t="inlineStr">
        <is>
          <t>Autori</t>
        </is>
      </c>
      <c r="E8" s="14" t="inlineStr">
        <is>
          <t>Nume jurnal</t>
        </is>
      </c>
      <c r="F8" s="15" t="inlineStr">
        <is>
          <t>Vol (nr), pg</t>
        </is>
      </c>
      <c r="G8" s="2" t="n">
        <v>2017</v>
      </c>
      <c r="H8" s="2" t="inlineStr">
        <is>
          <t>(niciunul)</t>
        </is>
      </c>
      <c r="I8" s="2" t="n">
        <v>0</v>
      </c>
      <c r="J8" s="7">
        <f>IF(H8="AA",12,IF(H8="A",8,IF(H8="B",4,IF(H8="C",2,IF(H8="D",1,0)))))/MAX(1,I8-2)</f>
        <v/>
      </c>
      <c r="K8" s="9" t="n"/>
      <c r="L8" s="9" t="n"/>
      <c r="M8" s="7">
        <f>L8</f>
        <v/>
      </c>
    </row>
    <row r="9" ht="32" customHeight="1">
      <c r="B9" s="56" t="n">
        <v>2</v>
      </c>
      <c r="C9" s="3" t="inlineStr">
        <is>
          <t>Titlu articol</t>
        </is>
      </c>
      <c r="D9" s="14" t="inlineStr">
        <is>
          <t>Autori</t>
        </is>
      </c>
      <c r="E9" s="14" t="inlineStr">
        <is>
          <t>Nume jurnal</t>
        </is>
      </c>
      <c r="F9" s="15" t="inlineStr">
        <is>
          <t>Vol (nr), pg</t>
        </is>
      </c>
      <c r="G9" s="2" t="n">
        <v>2017</v>
      </c>
      <c r="H9" s="2" t="inlineStr">
        <is>
          <t>(niciunul)</t>
        </is>
      </c>
      <c r="I9" s="2" t="n">
        <v>0</v>
      </c>
      <c r="J9" s="7">
        <f>IF(H9="AA",12,IF(H9="A",8,IF(H9="B",4,IF(H9="C",2,IF(H9="D",1,0)))))/MAX(1,I9-2)</f>
        <v/>
      </c>
      <c r="K9" s="9" t="n"/>
      <c r="L9" s="9" t="n"/>
      <c r="M9" s="7">
        <f>L9</f>
        <v/>
      </c>
    </row>
    <row r="10" ht="32" customHeight="1">
      <c r="B10" s="56" t="n">
        <v>3</v>
      </c>
      <c r="C10" s="3" t="inlineStr">
        <is>
          <t>Titlu articol</t>
        </is>
      </c>
      <c r="D10" s="14" t="inlineStr">
        <is>
          <t>Autori</t>
        </is>
      </c>
      <c r="E10" s="14" t="inlineStr">
        <is>
          <t>Nume jurnal</t>
        </is>
      </c>
      <c r="F10" s="15" t="inlineStr">
        <is>
          <t>Vol (nr), pg</t>
        </is>
      </c>
      <c r="G10" s="2" t="n">
        <v>2017</v>
      </c>
      <c r="H10" s="2" t="inlineStr">
        <is>
          <t>(niciunul)</t>
        </is>
      </c>
      <c r="I10" s="2" t="n">
        <v>0</v>
      </c>
      <c r="J10" s="7">
        <f>IF(H10="AA",12,IF(H10="A",8,IF(H10="B",4,IF(H10="C",2,IF(H10="D",1,0)))))/MAX(1,I10-2)</f>
        <v/>
      </c>
      <c r="K10" s="9" t="n"/>
      <c r="L10" s="9" t="n"/>
      <c r="M10" s="7">
        <f>L10</f>
        <v/>
      </c>
    </row>
    <row r="11" ht="32" customHeight="1">
      <c r="B11" s="56" t="n">
        <v>4</v>
      </c>
      <c r="C11" s="3" t="inlineStr">
        <is>
          <t>Titlu articol</t>
        </is>
      </c>
      <c r="D11" s="14" t="inlineStr">
        <is>
          <t>Autori</t>
        </is>
      </c>
      <c r="E11" s="14" t="inlineStr">
        <is>
          <t>Nume jurnal</t>
        </is>
      </c>
      <c r="F11" s="15" t="inlineStr">
        <is>
          <t>Vol (nr), pg</t>
        </is>
      </c>
      <c r="G11" s="2" t="n">
        <v>2017</v>
      </c>
      <c r="H11" s="2" t="inlineStr">
        <is>
          <t>(niciunul)</t>
        </is>
      </c>
      <c r="I11" s="2" t="n">
        <v>0</v>
      </c>
      <c r="J11" s="7">
        <f>IF(H11="AA",12,IF(H11="A",8,IF(H11="B",4,IF(H11="C",2,IF(H11="D",1,0)))))/MAX(1,I11-2)</f>
        <v/>
      </c>
      <c r="K11" s="9" t="n"/>
      <c r="L11" s="9" t="n"/>
      <c r="M11" s="7">
        <f>L11</f>
        <v/>
      </c>
    </row>
    <row r="12" ht="32" customHeight="1">
      <c r="B12" s="56" t="n">
        <v>5</v>
      </c>
      <c r="C12" s="3" t="inlineStr">
        <is>
          <t>Titlu articol</t>
        </is>
      </c>
      <c r="D12" s="14" t="inlineStr">
        <is>
          <t>Autori</t>
        </is>
      </c>
      <c r="E12" s="14" t="inlineStr">
        <is>
          <t>Nume jurnal</t>
        </is>
      </c>
      <c r="F12" s="15" t="inlineStr">
        <is>
          <t>Vol (nr), pg</t>
        </is>
      </c>
      <c r="G12" s="2" t="n">
        <v>2017</v>
      </c>
      <c r="H12" s="2" t="inlineStr">
        <is>
          <t>(niciunul)</t>
        </is>
      </c>
      <c r="I12" s="2" t="n">
        <v>0</v>
      </c>
      <c r="J12" s="7">
        <f>IF(H12="AA",12,IF(H12="A",8,IF(H12="B",4,IF(H12="C",2,IF(H12="D",1,0)))))/MAX(1,I12-2)</f>
        <v/>
      </c>
      <c r="K12" s="9" t="n"/>
      <c r="L12" s="9" t="n"/>
      <c r="M12" s="7">
        <f>L12</f>
        <v/>
      </c>
    </row>
    <row r="13" ht="32" customHeight="1">
      <c r="B13" s="56" t="n">
        <v>6</v>
      </c>
      <c r="C13" s="3" t="inlineStr">
        <is>
          <t>Titlu articol</t>
        </is>
      </c>
      <c r="D13" s="14" t="inlineStr">
        <is>
          <t>Autori</t>
        </is>
      </c>
      <c r="E13" s="14" t="inlineStr">
        <is>
          <t>Nume jurnal</t>
        </is>
      </c>
      <c r="F13" s="15" t="inlineStr">
        <is>
          <t>Vol (nr), pg</t>
        </is>
      </c>
      <c r="G13" s="2" t="n">
        <v>2017</v>
      </c>
      <c r="H13" s="2" t="inlineStr">
        <is>
          <t>(niciunul)</t>
        </is>
      </c>
      <c r="I13" s="2" t="n">
        <v>0</v>
      </c>
      <c r="J13" s="7">
        <f>IF(H13="AA",12,IF(H13="A",8,IF(H13="B",4,IF(H13="C",2,IF(H13="D",1,0)))))/MAX(1,I13-2)</f>
        <v/>
      </c>
      <c r="K13" s="9" t="n"/>
      <c r="L13" s="9" t="n"/>
      <c r="M13" s="7">
        <f>L13</f>
        <v/>
      </c>
    </row>
    <row r="14" ht="32" customHeight="1">
      <c r="B14" s="56" t="n">
        <v>7</v>
      </c>
      <c r="C14" s="3" t="inlineStr">
        <is>
          <t>Titlu articol</t>
        </is>
      </c>
      <c r="D14" s="14" t="inlineStr">
        <is>
          <t>Autori</t>
        </is>
      </c>
      <c r="E14" s="14" t="inlineStr">
        <is>
          <t>Nume jurnal</t>
        </is>
      </c>
      <c r="F14" s="15" t="inlineStr">
        <is>
          <t>Vol (nr), pg</t>
        </is>
      </c>
      <c r="G14" s="2" t="n">
        <v>2017</v>
      </c>
      <c r="H14" s="2" t="inlineStr">
        <is>
          <t>(niciunul)</t>
        </is>
      </c>
      <c r="I14" s="2" t="n">
        <v>0</v>
      </c>
      <c r="J14" s="7">
        <f>IF(H14="AA",12,IF(H14="A",8,IF(H14="B",4,IF(H14="C",2,IF(H14="D",1,0)))))/MAX(1,I14-2)</f>
        <v/>
      </c>
      <c r="K14" s="9" t="n"/>
      <c r="L14" s="9" t="n"/>
      <c r="M14" s="7">
        <f>L14</f>
        <v/>
      </c>
    </row>
    <row r="15" ht="32" customHeight="1">
      <c r="B15" s="56" t="n">
        <v>8</v>
      </c>
      <c r="C15" s="3" t="inlineStr">
        <is>
          <t>Titlu articol</t>
        </is>
      </c>
      <c r="D15" s="14" t="inlineStr">
        <is>
          <t>Autori</t>
        </is>
      </c>
      <c r="E15" s="14" t="inlineStr">
        <is>
          <t>Nume jurnal</t>
        </is>
      </c>
      <c r="F15" s="15" t="inlineStr">
        <is>
          <t>Vol (nr), pg</t>
        </is>
      </c>
      <c r="G15" s="2" t="n">
        <v>2017</v>
      </c>
      <c r="H15" s="2" t="inlineStr">
        <is>
          <t>(niciunul)</t>
        </is>
      </c>
      <c r="I15" s="2" t="n">
        <v>0</v>
      </c>
      <c r="J15" s="7">
        <f>IF(H15="AA",12,IF(H15="A",8,IF(H15="B",4,IF(H15="C",2,IF(H15="D",1,0)))))/MAX(1,I15-2)</f>
        <v/>
      </c>
      <c r="K15" s="9" t="n"/>
      <c r="L15" s="9" t="n"/>
      <c r="M15" s="7">
        <f>L15</f>
        <v/>
      </c>
    </row>
    <row r="17">
      <c r="C17" s="51" t="inlineStr">
        <is>
          <t>Total categoria A*</t>
        </is>
      </c>
      <c r="D17" s="84" t="n"/>
      <c r="E17" s="84" t="n"/>
      <c r="F17" s="84" t="n"/>
      <c r="G17" s="84" t="n"/>
      <c r="H17" s="84" t="n"/>
      <c r="I17" s="83" t="n"/>
      <c r="J17" s="7">
        <f>SUMIF(H8:H15,"=AA",J8:J15)</f>
        <v/>
      </c>
      <c r="K17" s="17" t="n"/>
      <c r="L17" s="17" t="n"/>
      <c r="M17" s="17" t="n"/>
    </row>
    <row r="18">
      <c r="C18" s="51" t="inlineStr">
        <is>
          <t>Total categoria A</t>
        </is>
      </c>
      <c r="D18" s="84" t="n"/>
      <c r="E18" s="84" t="n"/>
      <c r="F18" s="84" t="n"/>
      <c r="G18" s="84" t="n"/>
      <c r="H18" s="84" t="n"/>
      <c r="I18" s="83" t="n"/>
      <c r="J18" s="7">
        <f>SUMIF(H8:H15,"=A",J8:J15)</f>
        <v/>
      </c>
      <c r="K18" s="17" t="n"/>
      <c r="L18" s="17" t="n"/>
      <c r="M18" s="17" t="n"/>
    </row>
    <row r="19">
      <c r="C19" s="51" t="inlineStr">
        <is>
          <t>Total categoria B</t>
        </is>
      </c>
      <c r="D19" s="84" t="n"/>
      <c r="E19" s="84" t="n"/>
      <c r="F19" s="84" t="n"/>
      <c r="G19" s="84" t="n"/>
      <c r="H19" s="84" t="n"/>
      <c r="I19" s="83" t="n"/>
      <c r="J19" s="7">
        <f>SUMIF(H8:H15,"=B",J8:J15)</f>
        <v/>
      </c>
      <c r="K19" s="17" t="n"/>
      <c r="L19" s="17" t="n"/>
      <c r="M19" s="17" t="n"/>
    </row>
    <row r="20">
      <c r="C20" s="51" t="inlineStr">
        <is>
          <t>Total categoria C</t>
        </is>
      </c>
      <c r="D20" s="84" t="n"/>
      <c r="E20" s="84" t="n"/>
      <c r="F20" s="84" t="n"/>
      <c r="G20" s="84" t="n"/>
      <c r="H20" s="84" t="n"/>
      <c r="I20" s="83" t="n"/>
      <c r="J20" s="7">
        <f>SUMIF(H8:H15,"=C",J8:J15)</f>
        <v/>
      </c>
      <c r="K20" s="17" t="n"/>
      <c r="L20" s="17" t="n"/>
      <c r="M20" s="17" t="n"/>
    </row>
    <row r="21">
      <c r="C21" s="51" t="inlineStr">
        <is>
          <t>Total categoria D</t>
        </is>
      </c>
      <c r="D21" s="84" t="n"/>
      <c r="E21" s="84" t="n"/>
      <c r="F21" s="84" t="n"/>
      <c r="G21" s="84" t="n"/>
      <c r="H21" s="84" t="n"/>
      <c r="I21" s="83" t="n"/>
      <c r="J21" s="7">
        <f>SUMIF(H8:H15,"=D",J8:J15)</f>
        <v/>
      </c>
      <c r="K21" s="17" t="n"/>
      <c r="L21" s="17" t="n"/>
      <c r="M21" s="17" t="n"/>
    </row>
    <row r="22">
      <c r="C22" s="51" t="inlineStr">
        <is>
          <t>Total categoria A*+A+B</t>
        </is>
      </c>
      <c r="D22" s="84" t="n"/>
      <c r="E22" s="84" t="n"/>
      <c r="F22" s="84" t="n"/>
      <c r="G22" s="84" t="n"/>
      <c r="H22" s="84" t="n"/>
      <c r="I22" s="83" t="n"/>
      <c r="J22" s="7">
        <f>J17+J18+J19</f>
        <v/>
      </c>
      <c r="K22" s="17" t="n"/>
      <c r="L22" s="17" t="n"/>
      <c r="M22" s="17" t="n"/>
    </row>
    <row r="23">
      <c r="C23" s="51" t="inlineStr">
        <is>
          <t>TOTAL criteriu reviste</t>
        </is>
      </c>
      <c r="D23" s="84" t="n"/>
      <c r="E23" s="84" t="n"/>
      <c r="F23" s="84" t="n"/>
      <c r="G23" s="84" t="n"/>
      <c r="H23" s="84" t="n"/>
      <c r="I23" s="83" t="n"/>
      <c r="J23" s="7">
        <f>SUM(J17:J20)</f>
        <v/>
      </c>
      <c r="K23" s="7">
        <f>SUM(K8:K15)</f>
        <v/>
      </c>
      <c r="L23" s="7">
        <f>SUM(L8:L15)</f>
        <v/>
      </c>
      <c r="M23" s="7">
        <f>SUM(M8:M15)</f>
        <v/>
      </c>
    </row>
  </sheetData>
  <mergeCells count="19">
    <mergeCell ref="C23:I23"/>
    <mergeCell ref="C17:I17"/>
    <mergeCell ref="H6:H7"/>
    <mergeCell ref="J6:J7"/>
    <mergeCell ref="C19:I19"/>
    <mergeCell ref="C18:I18"/>
    <mergeCell ref="G6:G7"/>
    <mergeCell ref="M6:M7"/>
    <mergeCell ref="E6:E7"/>
    <mergeCell ref="B6:B7"/>
    <mergeCell ref="C20:I20"/>
    <mergeCell ref="C22:I22"/>
    <mergeCell ref="C5:K5"/>
    <mergeCell ref="C21:I21"/>
    <mergeCell ref="I6:I7"/>
    <mergeCell ref="C6:C7"/>
    <mergeCell ref="K6:L6"/>
    <mergeCell ref="D6:D7"/>
    <mergeCell ref="F6:F7"/>
  </mergeCells>
  <dataValidations count="1">
    <dataValidation sqref="H8:H15" showDropDown="0" showInputMessage="1" showErrorMessage="1" allowBlank="0" type="list">
      <formula1>"AA,A,B,C,D,(niciunul)"</formula1>
    </dataValidation>
  </dataValidations>
  <pageMargins left="0.7" right="0.7" top="0.75" bottom="0.75" header="0.3" footer="0.3"/>
  <pageSetup orientation="landscape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R28"/>
  <sheetViews>
    <sheetView topLeftCell="A4" workbookViewId="0">
      <selection activeCell="H8" sqref="H8"/>
    </sheetView>
  </sheetViews>
  <sheetFormatPr baseColWidth="10" defaultColWidth="8.83203125" defaultRowHeight="15"/>
  <cols>
    <col width="5.5" customWidth="1" min="1" max="1"/>
    <col width="6.33203125" bestFit="1" customWidth="1" min="2" max="2"/>
    <col width="27.33203125" customWidth="1" min="3" max="3"/>
    <col width="11.33203125" customWidth="1" min="5" max="5"/>
    <col width="23.5" customWidth="1" min="6" max="6"/>
    <col width="7.33203125" customWidth="1" min="7" max="7"/>
    <col width="6.5" customWidth="1" min="9" max="10"/>
    <col width="6.83203125" customWidth="1" min="11" max="11"/>
  </cols>
  <sheetData>
    <row r="4" ht="45" customHeight="1"/>
    <row r="5">
      <c r="C5" s="54" t="inlineStr">
        <is>
          <t>B. LUCRĂRI PUBLICATE ÎN VOLUME (PROCEEDINGS) ALE CONFERINȚELOR</t>
        </is>
      </c>
    </row>
    <row r="6">
      <c r="B6" s="56" t="inlineStr">
        <is>
          <t>Nr.crt.</t>
        </is>
      </c>
      <c r="C6" s="56" t="inlineStr">
        <is>
          <t>Titlu</t>
        </is>
      </c>
      <c r="D6" s="56" t="inlineStr">
        <is>
          <t>Autori</t>
        </is>
      </c>
      <c r="E6" s="56" t="inlineStr">
        <is>
          <t>Conferinta</t>
        </is>
      </c>
      <c r="F6" s="56" t="inlineStr">
        <is>
          <t>Volum, nr., pg.</t>
        </is>
      </c>
      <c r="G6" s="56" t="inlineStr">
        <is>
          <t>An</t>
        </is>
      </c>
      <c r="H6" s="56" t="inlineStr">
        <is>
          <t>Categorie forum</t>
        </is>
      </c>
      <c r="I6" s="56" t="inlineStr">
        <is>
          <t>Nr. autori</t>
        </is>
      </c>
      <c r="J6" s="56" t="inlineStr">
        <is>
          <t>Volum Workshop</t>
        </is>
      </c>
      <c r="K6" s="56" t="inlineStr">
        <is>
          <t>Punctaj P</t>
        </is>
      </c>
      <c r="L6" s="51" t="inlineStr">
        <is>
          <t>Citări</t>
        </is>
      </c>
      <c r="M6" s="83" t="n"/>
      <c r="N6" s="56" t="inlineStr">
        <is>
          <t>Punctaj Citari</t>
        </is>
      </c>
    </row>
    <row r="7" ht="16" customHeight="1">
      <c r="B7" s="82" t="n"/>
      <c r="C7" s="82" t="n"/>
      <c r="D7" s="82" t="n"/>
      <c r="E7" s="82" t="n"/>
      <c r="F7" s="82" t="n"/>
      <c r="G7" s="82" t="n"/>
      <c r="H7" s="82" t="n"/>
      <c r="I7" s="82" t="n"/>
      <c r="J7" s="82" t="n"/>
      <c r="K7" s="82" t="n"/>
      <c r="L7" s="56" t="inlineStr">
        <is>
          <t>număr</t>
        </is>
      </c>
      <c r="M7" s="56" t="inlineStr">
        <is>
          <t>punctaj</t>
        </is>
      </c>
      <c r="N7" s="82" t="n"/>
    </row>
    <row r="8" ht="32" customHeight="1">
      <c r="B8" s="56" t="n">
        <v>1</v>
      </c>
      <c r="C8" s="3" t="inlineStr">
        <is>
          <t>Titlu lucrare</t>
        </is>
      </c>
      <c r="D8" s="51" t="inlineStr">
        <is>
          <t>autori</t>
        </is>
      </c>
      <c r="E8" s="14" t="inlineStr">
        <is>
          <t>Conferinta/workshop</t>
        </is>
      </c>
      <c r="F8" s="2" t="inlineStr">
        <is>
          <t>Informatii proceedings</t>
        </is>
      </c>
      <c r="G8" s="2" t="n">
        <v>2017</v>
      </c>
      <c r="H8" s="2" t="inlineStr">
        <is>
          <t>(niciunul)</t>
        </is>
      </c>
      <c r="I8" s="2" t="n">
        <v>0</v>
      </c>
      <c r="J8" s="2" t="inlineStr">
        <is>
          <t>NU</t>
        </is>
      </c>
      <c r="K8" s="7">
        <f>IF(H8="AA",12, IF(H8="A",8,IF(H8="B",4,IF(H8="C",2,IF(H8="D",1,0)))))/MAX(1,I8-2)/(1+IF(J8="nu",0,1))</f>
        <v/>
      </c>
      <c r="L8" s="9" t="n"/>
      <c r="M8" s="9" t="n"/>
      <c r="N8" s="7">
        <f>M8</f>
        <v/>
      </c>
    </row>
    <row r="9" ht="32" customHeight="1">
      <c r="B9" s="56" t="n">
        <v>2</v>
      </c>
      <c r="C9" s="3" t="inlineStr">
        <is>
          <t>Titlu lucrare</t>
        </is>
      </c>
      <c r="D9" s="51" t="inlineStr">
        <is>
          <t>autori</t>
        </is>
      </c>
      <c r="E9" s="14" t="inlineStr">
        <is>
          <t>Conferinta/workshop</t>
        </is>
      </c>
      <c r="F9" s="2" t="inlineStr">
        <is>
          <t>Informatii proceedings</t>
        </is>
      </c>
      <c r="G9" s="2" t="n">
        <v>2017</v>
      </c>
      <c r="H9" s="2" t="inlineStr">
        <is>
          <t>(niciunul)</t>
        </is>
      </c>
      <c r="I9" s="2" t="n">
        <v>0</v>
      </c>
      <c r="J9" s="2" t="inlineStr">
        <is>
          <t>NU</t>
        </is>
      </c>
      <c r="K9" s="7">
        <f>IF(H9="AA",12, IF(H9="A",8,IF(H9="B",4,IF(H9="C",2,IF(H9="D",1,0)))))/MAX(1,I9-2)/(1+IF(J9="nu",0,1))</f>
        <v/>
      </c>
      <c r="L9" s="9" t="n"/>
      <c r="M9" s="9" t="n"/>
      <c r="N9" s="7">
        <f>M9</f>
        <v/>
      </c>
    </row>
    <row r="10" ht="32" customHeight="1">
      <c r="B10" s="56" t="n">
        <v>3</v>
      </c>
      <c r="C10" s="3" t="inlineStr">
        <is>
          <t>Titlu lucrare</t>
        </is>
      </c>
      <c r="D10" s="51" t="inlineStr">
        <is>
          <t>autori</t>
        </is>
      </c>
      <c r="E10" s="14" t="inlineStr">
        <is>
          <t>Conferinta/workshop</t>
        </is>
      </c>
      <c r="F10" s="2" t="inlineStr">
        <is>
          <t>Informatii proceedings</t>
        </is>
      </c>
      <c r="G10" s="2" t="n">
        <v>2017</v>
      </c>
      <c r="H10" s="2" t="inlineStr">
        <is>
          <t>(niciunul)</t>
        </is>
      </c>
      <c r="I10" s="2" t="n">
        <v>0</v>
      </c>
      <c r="J10" s="2" t="inlineStr">
        <is>
          <t>NU</t>
        </is>
      </c>
      <c r="K10" s="7">
        <f>IF(H10="AA",12, IF(H10="A",8,IF(H10="B",4,IF(H10="C",2,IF(H10="D",1,0)))))/MAX(1,I10-2)/(1+IF(J10="nu",0,1))</f>
        <v/>
      </c>
      <c r="L10" s="9" t="n"/>
      <c r="M10" s="9" t="n"/>
      <c r="N10" s="7">
        <f>M10</f>
        <v/>
      </c>
    </row>
    <row r="11" ht="32" customHeight="1">
      <c r="B11" s="56" t="n">
        <v>4</v>
      </c>
      <c r="C11" s="3" t="inlineStr">
        <is>
          <t>Titlu lucrare</t>
        </is>
      </c>
      <c r="D11" s="51" t="inlineStr">
        <is>
          <t>autori</t>
        </is>
      </c>
      <c r="E11" s="14" t="inlineStr">
        <is>
          <t>Conferinta/workshop</t>
        </is>
      </c>
      <c r="F11" s="2" t="inlineStr">
        <is>
          <t>Informatii proceedings</t>
        </is>
      </c>
      <c r="G11" s="2" t="n">
        <v>2017</v>
      </c>
      <c r="H11" s="2" t="inlineStr">
        <is>
          <t>(niciunul)</t>
        </is>
      </c>
      <c r="I11" s="2" t="n">
        <v>0</v>
      </c>
      <c r="J11" s="2" t="inlineStr">
        <is>
          <t>NU</t>
        </is>
      </c>
      <c r="K11" s="7">
        <f>IF(H11="AA",12, IF(H11="A",8,IF(H11="B",4,IF(H11="C",2,IF(H11="D",1,0)))))/MAX(1,I11-2)/(1+IF(J11="nu",0,1))</f>
        <v/>
      </c>
      <c r="L11" s="9" t="n"/>
      <c r="M11" s="9" t="n"/>
      <c r="N11" s="7">
        <f>M11</f>
        <v/>
      </c>
    </row>
    <row r="12" ht="32" customHeight="1">
      <c r="B12" s="56" t="n">
        <v>5</v>
      </c>
      <c r="C12" s="3" t="inlineStr">
        <is>
          <t>Titlu lucrare</t>
        </is>
      </c>
      <c r="D12" s="51" t="inlineStr">
        <is>
          <t>autori</t>
        </is>
      </c>
      <c r="E12" s="14" t="inlineStr">
        <is>
          <t>Conferinta/workshop</t>
        </is>
      </c>
      <c r="F12" s="2" t="inlineStr">
        <is>
          <t>Informatii proceedings</t>
        </is>
      </c>
      <c r="G12" s="2" t="n">
        <v>2017</v>
      </c>
      <c r="H12" s="2" t="inlineStr">
        <is>
          <t>(niciunul)</t>
        </is>
      </c>
      <c r="I12" s="2" t="n">
        <v>0</v>
      </c>
      <c r="J12" s="2" t="inlineStr">
        <is>
          <t>NU</t>
        </is>
      </c>
      <c r="K12" s="7">
        <f>IF(H12="AA",12, IF(H12="A",8,IF(H12="B",4,IF(H12="C",2,IF(H12="D",1,0)))))/MAX(1,I12-2)/(1+IF(J12="nu",0,1))</f>
        <v/>
      </c>
      <c r="L12" s="9" t="n"/>
      <c r="M12" s="9" t="n"/>
      <c r="N12" s="7">
        <f>M12</f>
        <v/>
      </c>
    </row>
    <row r="13" ht="32" customHeight="1">
      <c r="B13" s="56" t="n">
        <v>6</v>
      </c>
      <c r="C13" s="3" t="inlineStr">
        <is>
          <t>Titlu lucrare</t>
        </is>
      </c>
      <c r="D13" s="51" t="inlineStr">
        <is>
          <t>autori</t>
        </is>
      </c>
      <c r="E13" s="14" t="inlineStr">
        <is>
          <t>Conferinta/workshop</t>
        </is>
      </c>
      <c r="F13" s="2" t="inlineStr">
        <is>
          <t>Informatii proceedings</t>
        </is>
      </c>
      <c r="G13" s="2" t="n">
        <v>2017</v>
      </c>
      <c r="H13" s="2" t="inlineStr">
        <is>
          <t>(niciunul)</t>
        </is>
      </c>
      <c r="I13" s="2" t="n">
        <v>0</v>
      </c>
      <c r="J13" s="2" t="inlineStr">
        <is>
          <t>NU</t>
        </is>
      </c>
      <c r="K13" s="7">
        <f>IF(H13="AA",12, IF(H13="A",8,IF(H13="B",4,IF(H13="C",2,IF(H13="D",1,0)))))/MAX(1,I13-2)/(1+IF(J13="nu",0,1))</f>
        <v/>
      </c>
      <c r="L13" s="9" t="n"/>
      <c r="M13" s="9" t="n"/>
      <c r="N13" s="7">
        <f>M13</f>
        <v/>
      </c>
    </row>
    <row r="14" ht="32" customHeight="1">
      <c r="B14" s="56" t="n">
        <v>7</v>
      </c>
      <c r="C14" s="3" t="inlineStr">
        <is>
          <t>Titlu lucrare</t>
        </is>
      </c>
      <c r="D14" s="51" t="inlineStr">
        <is>
          <t>autori</t>
        </is>
      </c>
      <c r="E14" s="14" t="inlineStr">
        <is>
          <t>Conferinta/workshop</t>
        </is>
      </c>
      <c r="F14" s="2" t="inlineStr">
        <is>
          <t>Informatii proceedings</t>
        </is>
      </c>
      <c r="G14" s="2" t="n">
        <v>2017</v>
      </c>
      <c r="H14" s="2" t="inlineStr">
        <is>
          <t>(niciunul)</t>
        </is>
      </c>
      <c r="I14" s="2" t="n">
        <v>0</v>
      </c>
      <c r="J14" s="2" t="inlineStr">
        <is>
          <t>NU</t>
        </is>
      </c>
      <c r="K14" s="7">
        <f>IF(H14="AA",12, IF(H14="A",8,IF(H14="B",4,IF(H14="C",2,IF(H14="D",1,0)))))/MAX(1,I14-2)/(1+IF(J14="nu",0,1))</f>
        <v/>
      </c>
      <c r="L14" s="9" t="n"/>
      <c r="M14" s="9" t="n"/>
      <c r="N14" s="7">
        <f>M14</f>
        <v/>
      </c>
    </row>
    <row r="15" ht="32" customHeight="1">
      <c r="B15" s="56" t="n">
        <v>8</v>
      </c>
      <c r="C15" s="3" t="inlineStr">
        <is>
          <t>Titlu lucrare</t>
        </is>
      </c>
      <c r="D15" s="51" t="inlineStr">
        <is>
          <t>autori</t>
        </is>
      </c>
      <c r="E15" s="14" t="inlineStr">
        <is>
          <t>Conferinta/workshop</t>
        </is>
      </c>
      <c r="F15" s="2" t="inlineStr">
        <is>
          <t>Informatii proceedings</t>
        </is>
      </c>
      <c r="G15" s="2" t="n">
        <v>2017</v>
      </c>
      <c r="H15" s="2" t="inlineStr">
        <is>
          <t>(niciunul)</t>
        </is>
      </c>
      <c r="I15" s="2" t="n">
        <v>0</v>
      </c>
      <c r="J15" s="2" t="inlineStr">
        <is>
          <t>NU</t>
        </is>
      </c>
      <c r="K15" s="7">
        <f>IF(H15="AA",12, IF(H15="A",8,IF(H15="B",4,IF(H15="C",2,IF(H15="D",1,0)))))/MAX(1,I15-2)/(1+IF(J15="nu",0,1))</f>
        <v/>
      </c>
      <c r="L15" s="9" t="n"/>
      <c r="M15" s="9" t="n"/>
      <c r="N15" s="7">
        <f>M15</f>
        <v/>
      </c>
    </row>
    <row r="16" ht="32" customHeight="1">
      <c r="B16" s="56" t="n">
        <v>9</v>
      </c>
      <c r="C16" s="3" t="inlineStr">
        <is>
          <t>Titlu lucrare</t>
        </is>
      </c>
      <c r="D16" s="51" t="inlineStr">
        <is>
          <t>autori</t>
        </is>
      </c>
      <c r="E16" s="14" t="inlineStr">
        <is>
          <t>Conferinta/workshop</t>
        </is>
      </c>
      <c r="F16" s="2" t="inlineStr">
        <is>
          <t>Informatii proceedings</t>
        </is>
      </c>
      <c r="G16" s="2" t="n">
        <v>2017</v>
      </c>
      <c r="H16" s="2" t="inlineStr">
        <is>
          <t>(niciunul)</t>
        </is>
      </c>
      <c r="I16" s="2" t="n">
        <v>0</v>
      </c>
      <c r="J16" s="2" t="inlineStr">
        <is>
          <t>NU</t>
        </is>
      </c>
      <c r="K16" s="7">
        <f>IF(H16="AA",12, IF(H16="A",8,IF(H16="B",4,IF(H16="C",2,IF(H16="D",1,0)))))/MAX(1,I16-2)/(1+IF(J16="nu",0,1))</f>
        <v/>
      </c>
      <c r="L16" s="9" t="n"/>
      <c r="M16" s="9" t="n"/>
      <c r="N16" s="7">
        <f>M16</f>
        <v/>
      </c>
    </row>
    <row r="17" ht="32" customHeight="1">
      <c r="B17" s="56" t="n">
        <v>10</v>
      </c>
      <c r="C17" s="3" t="inlineStr">
        <is>
          <t>Titlu lucrare</t>
        </is>
      </c>
      <c r="D17" s="51" t="inlineStr">
        <is>
          <t>autori</t>
        </is>
      </c>
      <c r="E17" s="14" t="inlineStr">
        <is>
          <t>Conferinta/workshop</t>
        </is>
      </c>
      <c r="F17" s="2" t="inlineStr">
        <is>
          <t>Informatii proceedings</t>
        </is>
      </c>
      <c r="G17" s="2" t="n">
        <v>2017</v>
      </c>
      <c r="H17" s="2" t="inlineStr">
        <is>
          <t>(niciunul)</t>
        </is>
      </c>
      <c r="I17" s="2" t="n">
        <v>0</v>
      </c>
      <c r="J17" s="2" t="inlineStr">
        <is>
          <t>NU</t>
        </is>
      </c>
      <c r="K17" s="7">
        <f>IF(H17="AA",12, IF(H17="A",8,IF(H17="B",4,IF(H17="C",2,IF(H17="D",1,0)))))/MAX(1,I17-2)/(1+IF(J17="nu",0,1))</f>
        <v/>
      </c>
      <c r="L17" s="9" t="n"/>
      <c r="M17" s="9" t="n"/>
      <c r="N17" s="7">
        <f>M17</f>
        <v/>
      </c>
    </row>
    <row r="19">
      <c r="C19" s="51" t="inlineStr">
        <is>
          <t>Total categoria A*</t>
        </is>
      </c>
      <c r="D19" s="84" t="n"/>
      <c r="E19" s="84" t="n"/>
      <c r="F19" s="84" t="n"/>
      <c r="G19" s="84" t="n"/>
      <c r="H19" s="84" t="n"/>
      <c r="I19" s="83" t="n"/>
      <c r="J19" s="51" t="n"/>
      <c r="K19" s="7">
        <f>SUMIF(H8:H17,"=AA",K8:K17)</f>
        <v/>
      </c>
      <c r="L19" s="17" t="n"/>
      <c r="M19" s="17" t="n"/>
      <c r="N19" s="17" t="n"/>
    </row>
    <row r="20">
      <c r="C20" s="51" t="inlineStr">
        <is>
          <t>Total categoria A</t>
        </is>
      </c>
      <c r="D20" s="84" t="n"/>
      <c r="E20" s="84" t="n"/>
      <c r="F20" s="84" t="n"/>
      <c r="G20" s="84" t="n"/>
      <c r="H20" s="84" t="n"/>
      <c r="I20" s="83" t="n"/>
      <c r="J20" s="51" t="n"/>
      <c r="K20" s="7">
        <f>SUMIF(H8:H17,"=A",K8:K17)</f>
        <v/>
      </c>
      <c r="L20" s="17" t="n"/>
      <c r="M20" s="17" t="n"/>
      <c r="N20" s="17" t="n"/>
    </row>
    <row r="21">
      <c r="C21" s="51" t="inlineStr">
        <is>
          <t>Total categoria B</t>
        </is>
      </c>
      <c r="D21" s="84" t="n"/>
      <c r="E21" s="84" t="n"/>
      <c r="F21" s="84" t="n"/>
      <c r="G21" s="84" t="n"/>
      <c r="H21" s="84" t="n"/>
      <c r="I21" s="83" t="n"/>
      <c r="J21" s="51" t="n"/>
      <c r="K21" s="7">
        <f>SUMIF(H8:H17,"=B",K8:K17)</f>
        <v/>
      </c>
      <c r="L21" s="17" t="n"/>
      <c r="M21" s="17" t="n"/>
      <c r="N21" s="17" t="n"/>
    </row>
    <row r="22">
      <c r="C22" s="51" t="inlineStr">
        <is>
          <t>Total categoria C</t>
        </is>
      </c>
      <c r="D22" s="84" t="n"/>
      <c r="E22" s="84" t="n"/>
      <c r="F22" s="84" t="n"/>
      <c r="G22" s="84" t="n"/>
      <c r="H22" s="84" t="n"/>
      <c r="I22" s="83" t="n"/>
      <c r="J22" s="51" t="n"/>
      <c r="K22" s="7">
        <f>SUMIF(H8:H17,"=C",K8:K17)</f>
        <v/>
      </c>
      <c r="L22" s="17" t="n"/>
      <c r="M22" s="17" t="n"/>
      <c r="N22" s="17" t="n"/>
    </row>
    <row r="23">
      <c r="C23" s="51" t="inlineStr">
        <is>
          <t>Total categoria D</t>
        </is>
      </c>
      <c r="D23" s="84" t="n"/>
      <c r="E23" s="84" t="n"/>
      <c r="F23" s="84" t="n"/>
      <c r="G23" s="84" t="n"/>
      <c r="H23" s="84" t="n"/>
      <c r="I23" s="83" t="n"/>
      <c r="J23" s="51" t="n"/>
      <c r="K23" s="7">
        <f>SUMIF(H8:H17,"=D",K8:K17)</f>
        <v/>
      </c>
      <c r="L23" s="17" t="n"/>
      <c r="M23" s="17" t="n"/>
      <c r="N23" s="17" t="n"/>
    </row>
    <row r="24">
      <c r="C24" s="51" t="inlineStr">
        <is>
          <t>Total categoria A*+A+B</t>
        </is>
      </c>
      <c r="D24" s="84" t="n"/>
      <c r="E24" s="84" t="n"/>
      <c r="F24" s="84" t="n"/>
      <c r="G24" s="84" t="n"/>
      <c r="H24" s="84" t="n"/>
      <c r="I24" s="83" t="n"/>
      <c r="J24" s="53" t="n"/>
      <c r="K24" s="7">
        <f>K19+K21+K20</f>
        <v/>
      </c>
      <c r="L24" s="17" t="n"/>
      <c r="M24" s="17" t="n"/>
      <c r="N24" s="17" t="n"/>
    </row>
    <row r="25">
      <c r="C25" s="51" t="inlineStr">
        <is>
          <t>TOTAL criteriu conferinte</t>
        </is>
      </c>
      <c r="D25" s="84" t="n"/>
      <c r="E25" s="84" t="n"/>
      <c r="F25" s="84" t="n"/>
      <c r="G25" s="84" t="n"/>
      <c r="H25" s="84" t="n"/>
      <c r="I25" s="83" t="n"/>
      <c r="J25" s="51" t="n"/>
      <c r="K25" s="7">
        <f>SUM(K19:K22)</f>
        <v/>
      </c>
      <c r="L25" s="7">
        <f>SUM(L8:L17)</f>
        <v/>
      </c>
      <c r="M25" s="7">
        <f>SUM(M8:M17)</f>
        <v/>
      </c>
      <c r="N25" s="7">
        <f>SUM(N8:N17)</f>
        <v/>
      </c>
      <c r="Q25" t="inlineStr">
        <is>
          <t>Legenda</t>
        </is>
      </c>
    </row>
    <row r="26">
      <c r="Q26" s="10" t="n"/>
      <c r="R26" t="inlineStr">
        <is>
          <t>necesita actualizare referinte</t>
        </is>
      </c>
    </row>
    <row r="27">
      <c r="Q27" s="11" t="n"/>
      <c r="R27" t="inlineStr">
        <is>
          <t>autocalculat</t>
        </is>
      </c>
    </row>
    <row r="28">
      <c r="Q28" s="12" t="n"/>
      <c r="R28" t="inlineStr">
        <is>
          <t>autocalculat dar necesita actualizare formule</t>
        </is>
      </c>
    </row>
  </sheetData>
  <mergeCells count="20">
    <mergeCell ref="C23:I23"/>
    <mergeCell ref="H6:H7"/>
    <mergeCell ref="J6:J7"/>
    <mergeCell ref="C19:I19"/>
    <mergeCell ref="G6:G7"/>
    <mergeCell ref="C24:I24"/>
    <mergeCell ref="E6:E7"/>
    <mergeCell ref="B6:B7"/>
    <mergeCell ref="C5:L5"/>
    <mergeCell ref="C20:I20"/>
    <mergeCell ref="N6:N7"/>
    <mergeCell ref="C25:I25"/>
    <mergeCell ref="C22:I22"/>
    <mergeCell ref="L6:M6"/>
    <mergeCell ref="C21:I21"/>
    <mergeCell ref="I6:I7"/>
    <mergeCell ref="K6:K7"/>
    <mergeCell ref="C6:C7"/>
    <mergeCell ref="D6:D7"/>
    <mergeCell ref="F6:F7"/>
  </mergeCells>
  <dataValidations count="2">
    <dataValidation sqref="J8:J17" showDropDown="0" showInputMessage="1" showErrorMessage="1" allowBlank="1" type="list">
      <formula1>"DA,NU"</formula1>
    </dataValidation>
    <dataValidation sqref="H8:H17" showDropDown="0" showInputMessage="1" showErrorMessage="1" allowBlank="0" type="list">
      <formula1>"AA,A,B,C,D,(niciunul)"</formula1>
    </dataValidation>
  </dataValidations>
  <pageMargins left="0.7" right="0.7" top="0.75" bottom="0.75" header="0.3" footer="0.3"/>
  <pageSetup orientation="landscape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5:Q24"/>
  <sheetViews>
    <sheetView topLeftCell="A7" workbookViewId="0">
      <selection activeCell="F14" sqref="F14"/>
    </sheetView>
  </sheetViews>
  <sheetFormatPr baseColWidth="10" defaultColWidth="8.83203125" defaultRowHeight="15"/>
  <cols>
    <col width="11.83203125" bestFit="1" customWidth="1" min="9" max="9"/>
  </cols>
  <sheetData>
    <row r="4" ht="71.5" customHeight="1"/>
    <row r="5">
      <c r="C5" s="54" t="inlineStr">
        <is>
          <t>B1. Centralizator citări</t>
        </is>
      </c>
    </row>
    <row r="6">
      <c r="I6" s="2" t="inlineStr">
        <is>
          <t>Număr citări</t>
        </is>
      </c>
      <c r="J6" s="2" t="inlineStr">
        <is>
          <t>Punctaj</t>
        </is>
      </c>
    </row>
    <row r="7">
      <c r="B7" s="51" t="inlineStr">
        <is>
          <t>Total citări forumuri de categoria A*</t>
        </is>
      </c>
      <c r="C7" s="84" t="n"/>
      <c r="D7" s="84" t="n"/>
      <c r="E7" s="84" t="n"/>
      <c r="F7" s="84" t="n"/>
      <c r="G7" s="84" t="n"/>
      <c r="H7" s="83" t="n"/>
      <c r="I7" s="8">
        <f>SUM('C-Citari-TPL'!I22)</f>
        <v/>
      </c>
      <c r="J7" s="8">
        <f>SUM('C-Citari-TPL'!J22)</f>
        <v/>
      </c>
    </row>
    <row r="8">
      <c r="B8" s="51" t="inlineStr">
        <is>
          <t>Total citări forumuri de categoria A</t>
        </is>
      </c>
      <c r="C8" s="84" t="n"/>
      <c r="D8" s="84" t="n"/>
      <c r="E8" s="84" t="n"/>
      <c r="F8" s="84" t="n"/>
      <c r="G8" s="84" t="n"/>
      <c r="H8" s="83" t="n"/>
      <c r="I8" s="8">
        <f>SUM('C-Citari-TPL'!I23)</f>
        <v/>
      </c>
      <c r="J8" s="8">
        <f>SUM('C-Citari-TPL'!J23)</f>
        <v/>
      </c>
    </row>
    <row r="9">
      <c r="B9" s="51" t="inlineStr">
        <is>
          <t>Total citări forumuri de categoria B</t>
        </is>
      </c>
      <c r="C9" s="84" t="n"/>
      <c r="D9" s="84" t="n"/>
      <c r="E9" s="84" t="n"/>
      <c r="F9" s="84" t="n"/>
      <c r="G9" s="84" t="n"/>
      <c r="H9" s="83" t="n"/>
      <c r="I9" s="8">
        <f>SUM('C-Citari-TPL'!I24)</f>
        <v/>
      </c>
      <c r="J9" s="8">
        <f>SUM('C-Citari-TPL'!J24)</f>
        <v/>
      </c>
    </row>
    <row r="10">
      <c r="B10" s="51" t="inlineStr">
        <is>
          <t>Total citări forumuri de categoria C</t>
        </is>
      </c>
      <c r="C10" s="84" t="n"/>
      <c r="D10" s="84" t="n"/>
      <c r="E10" s="84" t="n"/>
      <c r="F10" s="84" t="n"/>
      <c r="G10" s="84" t="n"/>
      <c r="H10" s="83" t="n"/>
      <c r="I10" s="8">
        <f>SUM('C-Citari-TPL'!I25)</f>
        <v/>
      </c>
      <c r="J10" s="8">
        <f>SUM('C-Citari-TPL'!J25)</f>
        <v/>
      </c>
    </row>
    <row r="11">
      <c r="B11" s="51" t="inlineStr">
        <is>
          <t>Total citări forumuri de categoria D</t>
        </is>
      </c>
      <c r="C11" s="84" t="n"/>
      <c r="D11" s="84" t="n"/>
      <c r="E11" s="84" t="n"/>
      <c r="F11" s="84" t="n"/>
      <c r="G11" s="84" t="n"/>
      <c r="H11" s="83" t="n"/>
      <c r="I11" s="8">
        <f>SUM('C-Citari-TPL'!I26)</f>
        <v/>
      </c>
      <c r="J11" s="8">
        <f>SUM('C-Citari-TPL'!J26)</f>
        <v/>
      </c>
    </row>
    <row r="12">
      <c r="B12" s="51" t="inlineStr">
        <is>
          <t>Total citări forumuri de categoria A*+A + B</t>
        </is>
      </c>
      <c r="C12" s="84" t="n"/>
      <c r="D12" s="84" t="n"/>
      <c r="E12" s="84" t="n"/>
      <c r="F12" s="84" t="n"/>
      <c r="G12" s="84" t="n"/>
      <c r="H12" s="83" t="n"/>
      <c r="I12" s="17">
        <f>SUM(I7:I9)</f>
        <v/>
      </c>
      <c r="J12" s="8">
        <f>SUM(J7:J9)</f>
        <v/>
      </c>
    </row>
    <row r="13">
      <c r="B13" s="51" t="inlineStr">
        <is>
          <t>TOTAL</t>
        </is>
      </c>
      <c r="C13" s="84" t="n"/>
      <c r="D13" s="84" t="n"/>
      <c r="E13" s="84" t="n"/>
      <c r="F13" s="84" t="n"/>
      <c r="G13" s="84" t="n"/>
      <c r="H13" s="83" t="n"/>
      <c r="I13" s="17">
        <f>SUM(I7:I11)</f>
        <v/>
      </c>
      <c r="J13" s="8">
        <f>SUM(J7:J11)</f>
        <v/>
      </c>
    </row>
    <row r="21">
      <c r="P21" t="inlineStr">
        <is>
          <t>Legenda</t>
        </is>
      </c>
    </row>
    <row r="22">
      <c r="P22" s="10" t="n"/>
      <c r="Q22" t="inlineStr">
        <is>
          <t>necesita actualizare referinte</t>
        </is>
      </c>
    </row>
    <row r="23">
      <c r="P23" s="11" t="n"/>
      <c r="Q23" t="inlineStr">
        <is>
          <t>autocalculat</t>
        </is>
      </c>
    </row>
    <row r="24">
      <c r="P24" s="12" t="n"/>
      <c r="Q24" t="inlineStr">
        <is>
          <t>autocalculat dar necesita actualizare formule</t>
        </is>
      </c>
    </row>
  </sheetData>
  <mergeCells count="8">
    <mergeCell ref="B8:H8"/>
    <mergeCell ref="B9:H9"/>
    <mergeCell ref="B13:H13"/>
    <mergeCell ref="B12:H12"/>
    <mergeCell ref="B10:H10"/>
    <mergeCell ref="B7:H7"/>
    <mergeCell ref="B11:H11"/>
    <mergeCell ref="C5:I5"/>
  </mergeCells>
  <pageMargins left="0.7" right="0.7" top="0.75" bottom="0.75" header="0.3" footer="0.3"/>
  <pageSetup orientation="landscape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5:O28"/>
  <sheetViews>
    <sheetView tabSelected="1" topLeftCell="A10" workbookViewId="0">
      <selection activeCell="J23" sqref="J23"/>
    </sheetView>
  </sheetViews>
  <sheetFormatPr baseColWidth="10" defaultColWidth="8.83203125" defaultRowHeight="15"/>
  <cols>
    <col width="5.5" customWidth="1" min="1" max="1"/>
    <col width="6.33203125" bestFit="1" customWidth="1" min="2" max="2"/>
    <col width="44.6640625" customWidth="1" min="3" max="3"/>
    <col width="13" customWidth="1" min="4" max="5"/>
    <col width="7.33203125" customWidth="1" min="6" max="6"/>
    <col width="5.6640625" customWidth="1" min="7" max="7"/>
    <col width="6.5" customWidth="1" min="8" max="8"/>
    <col width="6.83203125" customWidth="1" min="10" max="10"/>
  </cols>
  <sheetData>
    <row r="4" ht="43.25" customHeight="1"/>
    <row r="5">
      <c r="C5" s="54" t="inlineStr">
        <is>
          <t>B2. CITĂRI PENTRU LUCRAREA: Articol Revista 1 (Nume Jurnal, 2017)</t>
        </is>
      </c>
    </row>
    <row r="6" ht="14.5" customHeight="1">
      <c r="B6" s="56" t="inlineStr">
        <is>
          <t>Nr.crt.</t>
        </is>
      </c>
      <c r="C6" s="56" t="inlineStr">
        <is>
          <t>Titlu</t>
        </is>
      </c>
      <c r="D6" s="56" t="inlineStr">
        <is>
          <t>Autori</t>
        </is>
      </c>
      <c r="E6" s="56" t="inlineStr">
        <is>
          <t>FORUM (Revista, Conferința)</t>
        </is>
      </c>
      <c r="F6" s="56" t="inlineStr">
        <is>
          <t>Volum, nr., pg.</t>
        </is>
      </c>
      <c r="G6" s="56" t="inlineStr">
        <is>
          <t>An</t>
        </is>
      </c>
      <c r="H6" s="56" t="inlineStr">
        <is>
          <t>Volum Workshop</t>
        </is>
      </c>
      <c r="I6" s="56" t="inlineStr">
        <is>
          <t>Categorie forum</t>
        </is>
      </c>
      <c r="J6" s="56" t="inlineStr">
        <is>
          <t>Punctaj P</t>
        </is>
      </c>
      <c r="N6" t="inlineStr">
        <is>
          <t>Legenda</t>
        </is>
      </c>
    </row>
    <row r="7" ht="30" customHeight="1">
      <c r="B7" s="82" t="n"/>
      <c r="C7" s="82" t="n"/>
      <c r="D7" s="82" t="n"/>
      <c r="E7" s="82" t="n"/>
      <c r="F7" s="82" t="n"/>
      <c r="G7" s="82" t="n"/>
      <c r="H7" s="82" t="n"/>
      <c r="I7" s="82" t="n"/>
      <c r="J7" s="82" t="n"/>
      <c r="N7" s="11" t="n"/>
      <c r="O7" t="inlineStr">
        <is>
          <t>autocalculat</t>
        </is>
      </c>
    </row>
    <row r="8" ht="32" customHeight="1">
      <c r="B8" s="56" t="n">
        <v>1</v>
      </c>
      <c r="C8" s="3" t="inlineStr">
        <is>
          <t>Titlu articol care citeaza</t>
        </is>
      </c>
      <c r="D8" s="14" t="inlineStr">
        <is>
          <t>Autori</t>
        </is>
      </c>
      <c r="E8" s="14" t="inlineStr">
        <is>
          <t>Revista/conferinta/carte etc.</t>
        </is>
      </c>
      <c r="F8" s="15" t="inlineStr">
        <is>
          <t>Informatii</t>
        </is>
      </c>
      <c r="G8" s="15" t="n">
        <v>2010</v>
      </c>
      <c r="H8" s="2" t="inlineStr">
        <is>
          <t>NU</t>
        </is>
      </c>
      <c r="I8" s="2" t="inlineStr">
        <is>
          <t>(niciunul)</t>
        </is>
      </c>
      <c r="J8" s="7">
        <f>IF(I8="AA",12,IF(I8="A",8,IF(I8="B",4,IF(I8="C",2,IF(I8="D",1,0)))))/(1+IF(H8="nu",0,1))</f>
        <v/>
      </c>
      <c r="N8" s="12" t="n"/>
      <c r="O8" t="inlineStr">
        <is>
          <t>autocalculat dar necesita actualizare formule</t>
        </is>
      </c>
    </row>
    <row r="9" ht="32" customHeight="1">
      <c r="B9" s="56" t="n">
        <v>2</v>
      </c>
      <c r="C9" s="3" t="inlineStr">
        <is>
          <t>Titlu articol care citeaza</t>
        </is>
      </c>
      <c r="D9" s="14" t="inlineStr">
        <is>
          <t>Autori</t>
        </is>
      </c>
      <c r="E9" s="14" t="inlineStr">
        <is>
          <t>Revista/conferinta/carte etc.</t>
        </is>
      </c>
      <c r="F9" s="15" t="inlineStr">
        <is>
          <t>Informatii</t>
        </is>
      </c>
      <c r="G9" s="15" t="n">
        <v>2010</v>
      </c>
      <c r="H9" s="2" t="inlineStr">
        <is>
          <t>NU</t>
        </is>
      </c>
      <c r="I9" s="2" t="inlineStr">
        <is>
          <t>(niciunul)</t>
        </is>
      </c>
      <c r="J9" s="7">
        <f>IF(I9="AA",12,IF(I9="A",8,IF(I9="B",4,IF(I9="C",2,IF(I9="D",1,0)))))/(1+IF(H9="nu",0,1))</f>
        <v/>
      </c>
    </row>
    <row r="10" ht="32" customHeight="1">
      <c r="B10" s="56" t="n">
        <v>3</v>
      </c>
      <c r="C10" s="3" t="inlineStr">
        <is>
          <t>Titlu articol care citeaza</t>
        </is>
      </c>
      <c r="D10" s="14" t="inlineStr">
        <is>
          <t>Autori</t>
        </is>
      </c>
      <c r="E10" s="14" t="inlineStr">
        <is>
          <t>Revista/conferinta/carte etc.</t>
        </is>
      </c>
      <c r="F10" s="15" t="inlineStr">
        <is>
          <t>Informatii</t>
        </is>
      </c>
      <c r="G10" s="15" t="n">
        <v>2009</v>
      </c>
      <c r="H10" s="2" t="inlineStr">
        <is>
          <t>NU</t>
        </is>
      </c>
      <c r="I10" s="2" t="inlineStr">
        <is>
          <t>(niciunul)</t>
        </is>
      </c>
      <c r="J10" s="7">
        <f>IF(I10="AA",12,IF(I10="A",8,IF(I10="B",4,IF(I10="C",2,IF(I10="D",1,0)))))/(1+IF(H10="nu",0,1))</f>
        <v/>
      </c>
    </row>
    <row r="11" ht="32" customHeight="1">
      <c r="B11" s="56" t="n">
        <v>4</v>
      </c>
      <c r="C11" s="3" t="inlineStr">
        <is>
          <t>Titlu articol care citeaza</t>
        </is>
      </c>
      <c r="D11" s="14" t="inlineStr">
        <is>
          <t>Autori</t>
        </is>
      </c>
      <c r="E11" s="14" t="inlineStr">
        <is>
          <t>Revista/conferinta/carte etc.</t>
        </is>
      </c>
      <c r="F11" s="15" t="inlineStr">
        <is>
          <t>Informatii</t>
        </is>
      </c>
      <c r="G11" s="15" t="n">
        <v>2010</v>
      </c>
      <c r="H11" s="2" t="inlineStr">
        <is>
          <t>NU</t>
        </is>
      </c>
      <c r="I11" s="2" t="inlineStr">
        <is>
          <t>(niciunul)</t>
        </is>
      </c>
      <c r="J11" s="7">
        <f>IF(I11="AA",12,IF(I11="A",8,IF(I11="B",4,IF(I11="C",2,IF(I11="D",1,0)))))/(1+IF(H11="nu",0,1))</f>
        <v/>
      </c>
    </row>
    <row r="12" ht="32" customHeight="1">
      <c r="B12" s="56" t="n">
        <v>5</v>
      </c>
      <c r="C12" s="3" t="inlineStr">
        <is>
          <t>Titlu articol care citeaza</t>
        </is>
      </c>
      <c r="D12" s="14" t="inlineStr">
        <is>
          <t>Autori</t>
        </is>
      </c>
      <c r="E12" s="14" t="inlineStr">
        <is>
          <t>Revista/conferinta/carte etc.</t>
        </is>
      </c>
      <c r="F12" s="15" t="inlineStr">
        <is>
          <t>Informatii</t>
        </is>
      </c>
      <c r="G12" s="15" t="n">
        <v>2013</v>
      </c>
      <c r="H12" s="2" t="inlineStr">
        <is>
          <t>NU</t>
        </is>
      </c>
      <c r="I12" s="2" t="inlineStr">
        <is>
          <t>(niciunul)</t>
        </is>
      </c>
      <c r="J12" s="7">
        <f>IF(I12="AA",12,IF(I12="A",8,IF(I12="B",4,IF(I12="C",2,IF(I12="D",1,0)))))/(1+IF(H12="nu",0,1))</f>
        <v/>
      </c>
    </row>
    <row r="13" ht="32" customHeight="1">
      <c r="B13" s="56" t="n">
        <v>6</v>
      </c>
      <c r="C13" s="3" t="inlineStr">
        <is>
          <t>Titlu articol care citeaza</t>
        </is>
      </c>
      <c r="D13" s="14" t="inlineStr">
        <is>
          <t>Autori</t>
        </is>
      </c>
      <c r="E13" s="14" t="inlineStr">
        <is>
          <t>Revista/conferinta/carte etc.</t>
        </is>
      </c>
      <c r="F13" s="15" t="inlineStr">
        <is>
          <t>Informatii</t>
        </is>
      </c>
      <c r="G13" s="15" t="n">
        <v>2010</v>
      </c>
      <c r="H13" s="2" t="inlineStr">
        <is>
          <t>NU</t>
        </is>
      </c>
      <c r="I13" s="2" t="inlineStr">
        <is>
          <t>(niciunul)</t>
        </is>
      </c>
      <c r="J13" s="7">
        <f>IF(I13="AA",12,IF(I13="A",8,IF(I13="B",4,IF(I13="C",2,IF(I13="D",1,0)))))/(1+IF(H13="nu",0,1))</f>
        <v/>
      </c>
    </row>
    <row r="14" ht="32" customHeight="1">
      <c r="B14" s="56" t="n">
        <v>7</v>
      </c>
      <c r="C14" s="3" t="inlineStr">
        <is>
          <t>Titlu articol care citeaza</t>
        </is>
      </c>
      <c r="D14" s="14" t="inlineStr">
        <is>
          <t>Autori</t>
        </is>
      </c>
      <c r="E14" s="14" t="inlineStr">
        <is>
          <t>Revista/conferinta/carte etc.</t>
        </is>
      </c>
      <c r="F14" s="15" t="inlineStr">
        <is>
          <t>Informatii</t>
        </is>
      </c>
      <c r="G14" s="15" t="n">
        <v>2013</v>
      </c>
      <c r="H14" s="2" t="inlineStr">
        <is>
          <t>NU</t>
        </is>
      </c>
      <c r="I14" s="2" t="inlineStr">
        <is>
          <t>(niciunul)</t>
        </is>
      </c>
      <c r="J14" s="7">
        <f>IF(I14="AA",12,IF(I14="A",8,IF(I14="B",4,IF(I14="C",2,IF(I14="D",1,0)))))/(1+IF(H14="nu",0,1))</f>
        <v/>
      </c>
    </row>
    <row r="15" ht="32" customHeight="1">
      <c r="B15" s="56" t="n">
        <v>8</v>
      </c>
      <c r="C15" s="3" t="inlineStr">
        <is>
          <t>Titlu articol care citeaza</t>
        </is>
      </c>
      <c r="D15" s="14" t="inlineStr">
        <is>
          <t>Autori</t>
        </is>
      </c>
      <c r="E15" s="14" t="inlineStr">
        <is>
          <t>Revista/conferinta/carte etc.</t>
        </is>
      </c>
      <c r="F15" s="15" t="inlineStr">
        <is>
          <t>Informatii</t>
        </is>
      </c>
      <c r="G15" s="15" t="n">
        <v>2010</v>
      </c>
      <c r="H15" s="2" t="inlineStr">
        <is>
          <t>NU</t>
        </is>
      </c>
      <c r="I15" s="2" t="inlineStr">
        <is>
          <t>(niciunul)</t>
        </is>
      </c>
      <c r="J15" s="7">
        <f>IF(I15="AA",12,IF(I15="A",8,IF(I15="B",4,IF(I15="C",2,IF(I15="D",1,0)))))/(1+IF(H15="nu",0,1))</f>
        <v/>
      </c>
    </row>
    <row r="16" ht="32" customHeight="1">
      <c r="B16" s="56" t="n">
        <v>9</v>
      </c>
      <c r="C16" s="3" t="inlineStr">
        <is>
          <t>Titlu articol care citeaza</t>
        </is>
      </c>
      <c r="D16" s="14" t="inlineStr">
        <is>
          <t>Autori</t>
        </is>
      </c>
      <c r="E16" s="14" t="inlineStr">
        <is>
          <t>Revista/conferinta/carte etc.</t>
        </is>
      </c>
      <c r="F16" s="15" t="inlineStr">
        <is>
          <t>Informatii</t>
        </is>
      </c>
      <c r="G16" s="15" t="n">
        <v>2015</v>
      </c>
      <c r="H16" s="2" t="inlineStr">
        <is>
          <t>NU</t>
        </is>
      </c>
      <c r="I16" s="2" t="inlineStr">
        <is>
          <t>(niciunul)</t>
        </is>
      </c>
      <c r="J16" s="7">
        <f>IF(I16="AA",12,IF(I16="A",8,IF(I16="B",4,IF(I16="C",2,IF(I16="D",1,0)))))/(1+IF(H16="nu",0,1))</f>
        <v/>
      </c>
    </row>
    <row r="17" ht="32" customHeight="1">
      <c r="B17" s="56" t="n">
        <v>10</v>
      </c>
      <c r="C17" s="3" t="inlineStr">
        <is>
          <t>Titlu articol care citeaza</t>
        </is>
      </c>
      <c r="D17" s="14" t="inlineStr">
        <is>
          <t>Autori</t>
        </is>
      </c>
      <c r="E17" s="14" t="inlineStr">
        <is>
          <t>Revista/conferinta/carte etc.</t>
        </is>
      </c>
      <c r="F17" s="15" t="inlineStr">
        <is>
          <t>Informatii</t>
        </is>
      </c>
      <c r="G17" s="15" t="n">
        <v>2011</v>
      </c>
      <c r="H17" s="2" t="inlineStr">
        <is>
          <t>NU</t>
        </is>
      </c>
      <c r="I17" s="2" t="inlineStr">
        <is>
          <t>(niciunul)</t>
        </is>
      </c>
      <c r="J17" s="7">
        <f>IF(I17="AA",12,IF(I17="A",8,IF(I17="B",4,IF(I17="C",2,IF(I17="D",1,0)))))/(1+IF(H17="nu",0,1))</f>
        <v/>
      </c>
    </row>
    <row r="18" ht="32" customHeight="1">
      <c r="B18" s="56" t="n">
        <v>11</v>
      </c>
      <c r="C18" s="3" t="inlineStr">
        <is>
          <t>Titlu articol care citeaza</t>
        </is>
      </c>
      <c r="D18" s="14" t="inlineStr">
        <is>
          <t>Autori</t>
        </is>
      </c>
      <c r="E18" s="14" t="inlineStr">
        <is>
          <t>Revista/conferinta/carte etc.</t>
        </is>
      </c>
      <c r="F18" s="15" t="inlineStr">
        <is>
          <t>Informatii</t>
        </is>
      </c>
      <c r="G18" s="15" t="n">
        <v>2013</v>
      </c>
      <c r="H18" s="2" t="inlineStr">
        <is>
          <t>NU</t>
        </is>
      </c>
      <c r="I18" s="2" t="inlineStr">
        <is>
          <t>(niciunul)</t>
        </is>
      </c>
      <c r="J18" s="7">
        <f>IF(I18="AA",12,IF(I18="A",8,IF(I18="B",4,IF(I18="C",2,IF(I18="D",1,0)))))/(1+IF(H18="nu",0,1))</f>
        <v/>
      </c>
    </row>
    <row r="19" ht="32" customHeight="1">
      <c r="B19" s="56" t="n">
        <v>11</v>
      </c>
      <c r="C19" s="3" t="inlineStr">
        <is>
          <t>Titlu articol care citeaza</t>
        </is>
      </c>
      <c r="D19" s="14" t="inlineStr">
        <is>
          <t>Autori</t>
        </is>
      </c>
      <c r="E19" s="14" t="inlineStr">
        <is>
          <t>Revista/conferinta/carte etc.</t>
        </is>
      </c>
      <c r="F19" s="15" t="inlineStr">
        <is>
          <t>Informatii</t>
        </is>
      </c>
      <c r="G19" s="15" t="n">
        <v>2014</v>
      </c>
      <c r="H19" s="2" t="inlineStr">
        <is>
          <t>NU</t>
        </is>
      </c>
      <c r="I19" s="2" t="inlineStr">
        <is>
          <t>(niciunul)</t>
        </is>
      </c>
      <c r="J19" s="7">
        <f>IF(I19="AA",12,IF(I19="A",8,IF(I19="B",4,IF(I19="C",2,IF(I19="D",1,0)))))/(1+IF(H19="nu",0,1))</f>
        <v/>
      </c>
    </row>
    <row r="21">
      <c r="E21" s="51" t="inlineStr">
        <is>
          <t>Numar autori lucrare</t>
        </is>
      </c>
      <c r="F21" s="84" t="n"/>
      <c r="G21" s="84" t="n"/>
      <c r="H21" s="84" t="n"/>
      <c r="I21" s="83" t="n"/>
      <c r="J21" s="2" t="n">
        <v>0</v>
      </c>
    </row>
    <row r="22">
      <c r="C22" s="51" t="inlineStr">
        <is>
          <t>Total categoria A*</t>
        </is>
      </c>
      <c r="D22" s="84" t="n"/>
      <c r="E22" s="84" t="n"/>
      <c r="F22" s="84" t="n"/>
      <c r="G22" s="84" t="n"/>
      <c r="H22" s="83" t="n"/>
      <c r="I22" s="16">
        <f>COUNTIF(I8:I19,"=AA")</f>
        <v/>
      </c>
      <c r="J22" s="7">
        <f>SUMIF(I8:I19,"=AA",J8:J19)/MAX(1,J21-2)</f>
        <v/>
      </c>
    </row>
    <row r="23">
      <c r="C23" s="51" t="inlineStr">
        <is>
          <t>Total categoria A</t>
        </is>
      </c>
      <c r="D23" s="84" t="n"/>
      <c r="E23" s="84" t="n"/>
      <c r="F23" s="84" t="n"/>
      <c r="G23" s="84" t="n"/>
      <c r="H23" s="83" t="n"/>
      <c r="I23" s="16">
        <f>COUNTIF(I8:I19,"=A")</f>
        <v/>
      </c>
      <c r="J23" s="7">
        <f>SUMIF(I8:I19,"=A",J8:J19)/MAX(1,J21-2)</f>
        <v/>
      </c>
    </row>
    <row r="24">
      <c r="C24" s="51" t="inlineStr">
        <is>
          <t>Total categoria B</t>
        </is>
      </c>
      <c r="D24" s="84" t="n"/>
      <c r="E24" s="84" t="n"/>
      <c r="F24" s="84" t="n"/>
      <c r="G24" s="84" t="n"/>
      <c r="H24" s="83" t="n"/>
      <c r="I24" s="16">
        <f>COUNTIF(I8:I19,"=B")</f>
        <v/>
      </c>
      <c r="J24" s="7">
        <f>SUMIF(I8:I19,"=B",J8:J19)/MAX(1,J21-2)</f>
        <v/>
      </c>
    </row>
    <row r="25">
      <c r="C25" s="51" t="inlineStr">
        <is>
          <t>Total categoria C</t>
        </is>
      </c>
      <c r="D25" s="84" t="n"/>
      <c r="E25" s="84" t="n"/>
      <c r="F25" s="84" t="n"/>
      <c r="G25" s="84" t="n"/>
      <c r="H25" s="83" t="n"/>
      <c r="I25" s="16">
        <f>COUNTIF(I8:I19,"=C")</f>
        <v/>
      </c>
      <c r="J25" s="7">
        <f>SUMIF(I8:I19,"=C",J8:J19)/MAX(1,J21-2)</f>
        <v/>
      </c>
    </row>
    <row r="26">
      <c r="C26" s="51" t="inlineStr">
        <is>
          <t>Total categoria D</t>
        </is>
      </c>
      <c r="D26" s="84" t="n"/>
      <c r="E26" s="84" t="n"/>
      <c r="F26" s="84" t="n"/>
      <c r="G26" s="84" t="n"/>
      <c r="H26" s="83" t="n"/>
      <c r="I26" s="16">
        <f>COUNTIF(I8:I19,"=D")</f>
        <v/>
      </c>
      <c r="J26" s="7">
        <f>SUMIF(I8:I19,"=D",J8:J19)/MAX(1,J21-2)</f>
        <v/>
      </c>
    </row>
    <row r="27">
      <c r="C27" s="51" t="inlineStr">
        <is>
          <t>Total categoria A*+A+B</t>
        </is>
      </c>
      <c r="D27" s="84" t="n"/>
      <c r="E27" s="84" t="n"/>
      <c r="F27" s="84" t="n"/>
      <c r="G27" s="84" t="n"/>
      <c r="H27" s="83" t="n"/>
      <c r="I27" s="16">
        <f>SUM(I22:I24)</f>
        <v/>
      </c>
      <c r="J27" s="7">
        <f>J22+J24+J23</f>
        <v/>
      </c>
    </row>
    <row r="28">
      <c r="C28" s="85" t="inlineStr">
        <is>
          <t>TOTAL</t>
        </is>
      </c>
      <c r="D28" s="84" t="n"/>
      <c r="E28" s="84" t="n"/>
      <c r="F28" s="84" t="n"/>
      <c r="G28" s="84" t="n"/>
      <c r="H28" s="83" t="n"/>
      <c r="I28" s="7">
        <f>SUM(I22:I26)</f>
        <v/>
      </c>
      <c r="J28" s="7">
        <f>SUM(J22:J26)</f>
        <v/>
      </c>
    </row>
  </sheetData>
  <mergeCells count="18">
    <mergeCell ref="C25:H25"/>
    <mergeCell ref="E21:I21"/>
    <mergeCell ref="C24:H24"/>
    <mergeCell ref="C28:H28"/>
    <mergeCell ref="C27:H27"/>
    <mergeCell ref="C22:H22"/>
    <mergeCell ref="H6:H7"/>
    <mergeCell ref="G6:G7"/>
    <mergeCell ref="I6:I7"/>
    <mergeCell ref="J6:J7"/>
    <mergeCell ref="C23:H23"/>
    <mergeCell ref="E6:E7"/>
    <mergeCell ref="C6:C7"/>
    <mergeCell ref="C26:H26"/>
    <mergeCell ref="C5:J5"/>
    <mergeCell ref="D6:D7"/>
    <mergeCell ref="B6:B7"/>
    <mergeCell ref="F6:F7"/>
  </mergeCells>
  <dataValidations count="2">
    <dataValidation sqref="H8:H19" showDropDown="0" showInputMessage="1" showErrorMessage="1" allowBlank="1" type="list">
      <formula1>"DA,NU"</formula1>
    </dataValidation>
    <dataValidation sqref="I8:I19" showDropDown="0" showInputMessage="1" showErrorMessage="1" allowBlank="0" type="list">
      <formula1>"AA,A,B,C,D,(niciunul)"</formula1>
    </dataValidation>
  </dataValidations>
  <pageMargins left="0.7" right="0.7" top="0.75" bottom="0.75" header="0.3" footer="0.3"/>
  <pageSetup orientation="landscape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7:P28"/>
  <sheetViews>
    <sheetView workbookViewId="0">
      <selection activeCell="K22" sqref="K22"/>
    </sheetView>
  </sheetViews>
  <sheetFormatPr baseColWidth="10" defaultColWidth="8.83203125" defaultRowHeight="15"/>
  <sheetData>
    <row r="7">
      <c r="C7" s="54" t="inlineStr">
        <is>
          <t>C. Perspectiva D</t>
        </is>
      </c>
    </row>
    <row r="8" ht="5" customHeight="1"/>
    <row r="9">
      <c r="B9" s="2" t="inlineStr">
        <is>
          <t>Nr.crt.</t>
        </is>
      </c>
      <c r="C9" s="73" t="inlineStr">
        <is>
          <t>Indicator</t>
        </is>
      </c>
      <c r="D9" s="84" t="n"/>
      <c r="E9" s="84" t="n"/>
      <c r="F9" s="84" t="n"/>
      <c r="G9" s="84" t="n"/>
      <c r="H9" s="84" t="n"/>
      <c r="I9" s="84" t="n"/>
      <c r="J9" s="83" t="n"/>
      <c r="K9" s="2" t="inlineStr">
        <is>
          <t>Punctaj</t>
        </is>
      </c>
    </row>
    <row r="10">
      <c r="B10" s="2" t="n">
        <v>1</v>
      </c>
      <c r="C10" s="51" t="inlineStr">
        <is>
          <t>Carti/Capitole</t>
        </is>
      </c>
      <c r="D10" s="84" t="n"/>
      <c r="E10" s="84" t="n"/>
      <c r="F10" s="84" t="n"/>
      <c r="G10" s="84" t="n"/>
      <c r="H10" s="84" t="n"/>
      <c r="I10" s="84" t="n"/>
      <c r="J10" s="83" t="n"/>
      <c r="K10" s="30">
        <f>'Indicatorul I'!K11</f>
        <v/>
      </c>
    </row>
    <row r="11">
      <c r="B11" s="2" t="n">
        <v>2</v>
      </c>
      <c r="C11" s="51" t="inlineStr">
        <is>
          <t>Editor proceedings</t>
        </is>
      </c>
      <c r="D11" s="84" t="n"/>
      <c r="E11" s="84" t="n"/>
      <c r="F11" s="84" t="n"/>
      <c r="G11" s="84" t="n"/>
      <c r="H11" s="84" t="n"/>
      <c r="I11" s="84" t="n"/>
      <c r="J11" s="83" t="n"/>
      <c r="K11" s="30">
        <f>'Indicatorul I'!K17</f>
        <v/>
      </c>
    </row>
    <row r="12">
      <c r="B12" s="2" t="n">
        <v>3</v>
      </c>
      <c r="C12" s="51" t="inlineStr">
        <is>
          <t>Curs in format electronic</t>
        </is>
      </c>
      <c r="D12" s="84" t="n"/>
      <c r="E12" s="84" t="n"/>
      <c r="F12" s="84" t="n"/>
      <c r="G12" s="84" t="n"/>
      <c r="H12" s="84" t="n"/>
      <c r="I12" s="84" t="n"/>
      <c r="J12" s="83" t="n"/>
      <c r="K12" s="30">
        <f>'Indicatorul I'!K23</f>
        <v/>
      </c>
    </row>
    <row r="13">
      <c r="B13" s="2" t="n">
        <v>4</v>
      </c>
      <c r="C13" s="51" t="inlineStr">
        <is>
          <t>Director/editor revista</t>
        </is>
      </c>
      <c r="D13" s="84" t="n"/>
      <c r="E13" s="84" t="n"/>
      <c r="F13" s="84" t="n"/>
      <c r="G13" s="84" t="n"/>
      <c r="H13" s="84" t="n"/>
      <c r="I13" s="84" t="n"/>
      <c r="J13" s="83" t="n"/>
      <c r="K13" s="30">
        <f>'Indicatorul I'!K29</f>
        <v/>
      </c>
    </row>
    <row r="14">
      <c r="B14" s="2" t="n">
        <v>5</v>
      </c>
      <c r="C14" s="51" t="inlineStr">
        <is>
          <t>Granturi</t>
        </is>
      </c>
      <c r="D14" s="84" t="n"/>
      <c r="E14" s="84" t="n"/>
      <c r="F14" s="84" t="n"/>
      <c r="G14" s="84" t="n"/>
      <c r="H14" s="84" t="n"/>
      <c r="I14" s="84" t="n"/>
      <c r="J14" s="83" t="n"/>
      <c r="K14" s="30">
        <f>'Indicatorul I'!K35</f>
        <v/>
      </c>
    </row>
    <row r="15">
      <c r="B15" s="2" t="n">
        <v>6</v>
      </c>
      <c r="C15" s="51" t="inlineStr">
        <is>
          <t>Membru comitet stiintific</t>
        </is>
      </c>
      <c r="D15" s="84" t="n"/>
      <c r="E15" s="84" t="n"/>
      <c r="F15" s="84" t="n"/>
      <c r="G15" s="84" t="n"/>
      <c r="H15" s="84" t="n"/>
      <c r="I15" s="84" t="n"/>
      <c r="J15" s="83" t="n"/>
      <c r="K15" s="30">
        <f>'Indicatorul I'!K41</f>
        <v/>
      </c>
    </row>
    <row r="16">
      <c r="B16" s="2" t="n">
        <v>7</v>
      </c>
      <c r="C16" s="51" t="inlineStr">
        <is>
          <t>Organizare evenimente</t>
        </is>
      </c>
      <c r="D16" s="84" t="n"/>
      <c r="E16" s="84" t="n"/>
      <c r="F16" s="84" t="n"/>
      <c r="G16" s="84" t="n"/>
      <c r="H16" s="84" t="n"/>
      <c r="I16" s="84" t="n"/>
      <c r="J16" s="83" t="n"/>
      <c r="K16" s="30">
        <f>'Indicatorul I'!K47</f>
        <v/>
      </c>
    </row>
    <row r="17">
      <c r="B17" s="2" t="n">
        <v>8</v>
      </c>
      <c r="C17" s="51" t="inlineStr">
        <is>
          <t>Keynote/invited speaker</t>
        </is>
      </c>
      <c r="D17" s="84" t="n"/>
      <c r="E17" s="84" t="n"/>
      <c r="F17" s="84" t="n"/>
      <c r="G17" s="84" t="n"/>
      <c r="H17" s="84" t="n"/>
      <c r="I17" s="84" t="n"/>
      <c r="J17" s="83" t="n"/>
      <c r="K17" s="30">
        <f>'Indicatorul I'!K53</f>
        <v/>
      </c>
    </row>
    <row r="18">
      <c r="B18" s="2" t="n">
        <v>9</v>
      </c>
      <c r="C18" s="51" t="inlineStr">
        <is>
          <t xml:space="preserve">Consolidarea de echipe </t>
        </is>
      </c>
      <c r="D18" s="84" t="n"/>
      <c r="E18" s="84" t="n"/>
      <c r="F18" s="84" t="n"/>
      <c r="G18" s="84" t="n"/>
      <c r="H18" s="84" t="n"/>
      <c r="I18" s="84" t="n"/>
      <c r="J18" s="83" t="n"/>
      <c r="K18" s="30">
        <f>'Indicatorul I'!K59</f>
        <v/>
      </c>
    </row>
    <row r="19">
      <c r="B19" s="2" t="n">
        <v>10</v>
      </c>
      <c r="C19" s="51" t="inlineStr">
        <is>
          <t>Comisii doctorat</t>
        </is>
      </c>
      <c r="D19" s="84" t="n"/>
      <c r="E19" s="84" t="n"/>
      <c r="F19" s="84" t="n"/>
      <c r="G19" s="84" t="n"/>
      <c r="H19" s="84" t="n"/>
      <c r="I19" s="84" t="n"/>
      <c r="J19" s="83" t="n"/>
      <c r="K19" s="30">
        <f>'Indicatorul I'!K65</f>
        <v/>
      </c>
    </row>
    <row r="20">
      <c r="B20" s="2" t="n">
        <v>11</v>
      </c>
      <c r="C20" s="51" t="inlineStr">
        <is>
          <t>Pozitii de conducere</t>
        </is>
      </c>
      <c r="D20" s="84" t="n"/>
      <c r="E20" s="84" t="n"/>
      <c r="F20" s="84" t="n"/>
      <c r="G20" s="84" t="n"/>
      <c r="H20" s="84" t="n"/>
      <c r="I20" s="84" t="n"/>
      <c r="J20" s="83" t="n"/>
      <c r="K20" s="30">
        <f>'Indicatorul I'!K71</f>
        <v/>
      </c>
    </row>
    <row r="21">
      <c r="B21" s="2" t="n">
        <v>12</v>
      </c>
      <c r="C21" s="51" t="inlineStr">
        <is>
          <t>Premii</t>
        </is>
      </c>
      <c r="D21" s="84" t="n"/>
      <c r="E21" s="84" t="n"/>
      <c r="F21" s="84" t="n"/>
      <c r="G21" s="84" t="n"/>
      <c r="H21" s="84" t="n"/>
      <c r="I21" s="84" t="n"/>
      <c r="J21" s="83" t="n"/>
      <c r="K21" s="30">
        <f>'Indicatorul I'!K77</f>
        <v/>
      </c>
    </row>
    <row r="22">
      <c r="H22" s="51" t="inlineStr">
        <is>
          <t>TOTAL</t>
        </is>
      </c>
      <c r="I22" s="84" t="n"/>
      <c r="J22" s="83" t="n"/>
      <c r="K22" s="31">
        <f>SUM(K10:K21)</f>
        <v/>
      </c>
    </row>
    <row r="24">
      <c r="C24" s="51" t="inlineStr">
        <is>
          <t>Număr proiecte ca director (prin competiție, ≥50.000 EUR)*</t>
        </is>
      </c>
      <c r="K24" s="30" t="n">
        <v>0</v>
      </c>
    </row>
    <row r="25">
      <c r="C25" s="54" t="inlineStr">
        <is>
          <t>* proiect cu echipă de cel puțin 2 membri plus directorul; competiția și componența echipei rămân declarative (verificare comisie)</t>
        </is>
      </c>
      <c r="O25" t="inlineStr">
        <is>
          <t>Legenda</t>
        </is>
      </c>
    </row>
    <row r="26">
      <c r="O26" s="10" t="n"/>
      <c r="P26" t="inlineStr">
        <is>
          <t>necesita actualizare referinte</t>
        </is>
      </c>
    </row>
    <row r="27">
      <c r="O27" s="11" t="n"/>
      <c r="P27" t="inlineStr">
        <is>
          <t>autocalculat</t>
        </is>
      </c>
    </row>
    <row r="28">
      <c r="O28" s="12" t="n"/>
      <c r="P28" t="inlineStr">
        <is>
          <t>autocalculat dar necesita actualizare formule</t>
        </is>
      </c>
    </row>
  </sheetData>
  <mergeCells count="15">
    <mergeCell ref="C17:J17"/>
    <mergeCell ref="C12:J12"/>
    <mergeCell ref="C21:J21"/>
    <mergeCell ref="C7:J7"/>
    <mergeCell ref="H22:J22"/>
    <mergeCell ref="C20:J20"/>
    <mergeCell ref="C15:J15"/>
    <mergeCell ref="C11:J11"/>
    <mergeCell ref="C10:J10"/>
    <mergeCell ref="C16:J16"/>
    <mergeCell ref="C9:J9"/>
    <mergeCell ref="C14:J14"/>
    <mergeCell ref="C13:J13"/>
    <mergeCell ref="C19:J19"/>
    <mergeCell ref="C18:J18"/>
  </mergeCells>
  <pageMargins left="0.7" right="0.7" top="0.75" bottom="0.75" header="0.3" footer="0.3"/>
  <pageSetup orientation="landscape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7:K77"/>
  <sheetViews>
    <sheetView workbookViewId="0">
      <selection activeCell="C64" sqref="C64:G64"/>
    </sheetView>
  </sheetViews>
  <sheetFormatPr baseColWidth="10" defaultColWidth="8.83203125" defaultRowHeight="15"/>
  <cols>
    <col width="9.1640625" customWidth="1" min="12" max="12"/>
  </cols>
  <sheetData>
    <row r="7">
      <c r="C7" s="54" t="inlineStr">
        <is>
          <t>C1. Justificări pentru indicatorul CARTI/CAPITOLE (perspectiva D)</t>
        </is>
      </c>
    </row>
    <row r="8" ht="5" customHeight="1"/>
    <row r="9">
      <c r="B9" s="2" t="inlineStr">
        <is>
          <t>Nr.crt.</t>
        </is>
      </c>
      <c r="C9" s="51" t="inlineStr">
        <is>
          <t>Explicație / Referințe</t>
        </is>
      </c>
      <c r="D9" s="84" t="n"/>
      <c r="E9" s="84" t="n"/>
      <c r="F9" s="84" t="n"/>
      <c r="G9" s="83" t="n"/>
      <c r="H9" s="51" t="inlineStr">
        <is>
          <t>Categorie</t>
        </is>
      </c>
      <c r="I9" s="84" t="n"/>
      <c r="J9" s="83" t="n"/>
      <c r="K9" s="2" t="inlineStr">
        <is>
          <t>Punctaj</t>
        </is>
      </c>
    </row>
    <row r="10">
      <c r="B10" s="2" t="n">
        <v>1</v>
      </c>
      <c r="C10" s="86" t="n"/>
      <c r="D10" s="84" t="n"/>
      <c r="E10" s="84" t="n"/>
      <c r="F10" s="84" t="n"/>
      <c r="G10" s="83" t="n"/>
      <c r="H10" s="51" t="inlineStr">
        <is>
          <t xml:space="preserve"> </t>
        </is>
      </c>
      <c r="I10" s="84" t="n"/>
      <c r="J10" s="83" t="n"/>
      <c r="K10" s="30" t="n"/>
    </row>
    <row r="11">
      <c r="H11" s="51" t="inlineStr">
        <is>
          <t>TOTAL</t>
        </is>
      </c>
      <c r="I11" s="84" t="n"/>
      <c r="J11" s="83" t="n"/>
      <c r="K11" s="31">
        <f>SUM(K10:K10)</f>
        <v/>
      </c>
    </row>
    <row r="13">
      <c r="C13" s="54" t="inlineStr">
        <is>
          <t>C1. Justificări pentru indicatorul EDITOR PROCEEDINGS (perspectiva D)</t>
        </is>
      </c>
    </row>
    <row r="15">
      <c r="B15" s="2" t="inlineStr">
        <is>
          <t>Nr.crt.</t>
        </is>
      </c>
      <c r="C15" s="51" t="inlineStr">
        <is>
          <t>Explicație / Referințe</t>
        </is>
      </c>
      <c r="D15" s="84" t="n"/>
      <c r="E15" s="84" t="n"/>
      <c r="F15" s="84" t="n"/>
      <c r="G15" s="83" t="n"/>
      <c r="H15" s="51" t="inlineStr">
        <is>
          <t>Categorie</t>
        </is>
      </c>
      <c r="I15" s="84" t="n"/>
      <c r="J15" s="83" t="n"/>
      <c r="K15" s="2" t="inlineStr">
        <is>
          <t>Punctaj</t>
        </is>
      </c>
    </row>
    <row r="16">
      <c r="B16" s="2" t="n">
        <v>1</v>
      </c>
      <c r="C16" s="66" t="n"/>
      <c r="D16" s="84" t="n"/>
      <c r="E16" s="84" t="n"/>
      <c r="F16" s="84" t="n"/>
      <c r="G16" s="83" t="n"/>
      <c r="H16" s="51" t="n"/>
      <c r="I16" s="84" t="n"/>
      <c r="J16" s="83" t="n"/>
      <c r="K16" s="30" t="n"/>
    </row>
    <row r="17">
      <c r="H17" s="51" t="inlineStr">
        <is>
          <t>TOTAL</t>
        </is>
      </c>
      <c r="I17" s="84" t="n"/>
      <c r="J17" s="83" t="n"/>
      <c r="K17" s="31">
        <f>SUM(K16)</f>
        <v/>
      </c>
    </row>
    <row r="19">
      <c r="C19" s="32" t="inlineStr">
        <is>
          <t>C1. Justificări pentru indicatorul CURS UNIVERSITAR IN FORMAT ELECTRONIC (perspectiva D)</t>
        </is>
      </c>
      <c r="D19" s="32" t="n"/>
      <c r="E19" s="32" t="n"/>
      <c r="F19" s="32" t="n"/>
      <c r="G19" s="32" t="n"/>
      <c r="H19" s="32" t="n"/>
      <c r="I19" s="32" t="n"/>
      <c r="J19" s="32" t="n"/>
    </row>
    <row r="21">
      <c r="B21" s="2" t="inlineStr">
        <is>
          <t>Nr.crt.</t>
        </is>
      </c>
      <c r="C21" s="51" t="inlineStr">
        <is>
          <t>Explicație / Referințe</t>
        </is>
      </c>
      <c r="D21" s="84" t="n"/>
      <c r="E21" s="84" t="n"/>
      <c r="F21" s="84" t="n"/>
      <c r="G21" s="83" t="n"/>
      <c r="H21" s="51" t="inlineStr">
        <is>
          <t>Categorie</t>
        </is>
      </c>
      <c r="I21" s="84" t="n"/>
      <c r="J21" s="83" t="n"/>
      <c r="K21" s="2" t="inlineStr">
        <is>
          <t>Punctaj</t>
        </is>
      </c>
    </row>
    <row r="22">
      <c r="B22" s="2" t="n">
        <v>1</v>
      </c>
      <c r="C22" s="73" t="n"/>
      <c r="D22" s="84" t="n"/>
      <c r="E22" s="84" t="n"/>
      <c r="F22" s="84" t="n"/>
      <c r="G22" s="83" t="n"/>
      <c r="H22" s="51" t="n"/>
      <c r="I22" s="84" t="n"/>
      <c r="J22" s="83" t="n"/>
      <c r="K22" s="2" t="n"/>
    </row>
    <row r="23">
      <c r="H23" s="51" t="inlineStr">
        <is>
          <t>TOTAL</t>
        </is>
      </c>
      <c r="I23" s="84" t="n"/>
      <c r="J23" s="83" t="n"/>
      <c r="K23" s="7">
        <f>SUM(K22:K22)</f>
        <v/>
      </c>
    </row>
    <row r="25">
      <c r="C25" s="54" t="inlineStr">
        <is>
          <t>C1. Justificări pentru indicatorul DIRECTOR/EDITOR REVISTA (perspectiva D)</t>
        </is>
      </c>
    </row>
    <row r="27">
      <c r="B27" s="2" t="inlineStr">
        <is>
          <t>Nr.crt.</t>
        </is>
      </c>
      <c r="C27" s="51" t="inlineStr">
        <is>
          <t>Explicație / Referințe</t>
        </is>
      </c>
      <c r="D27" s="84" t="n"/>
      <c r="E27" s="84" t="n"/>
      <c r="F27" s="84" t="n"/>
      <c r="G27" s="83" t="n"/>
      <c r="H27" s="51" t="inlineStr">
        <is>
          <t>Categorie</t>
        </is>
      </c>
      <c r="I27" s="84" t="n"/>
      <c r="J27" s="83" t="n"/>
      <c r="K27" s="2" t="inlineStr">
        <is>
          <t>Punctaj</t>
        </is>
      </c>
    </row>
    <row r="28">
      <c r="B28" s="2" t="n">
        <v>1</v>
      </c>
      <c r="C28" s="86" t="n"/>
      <c r="D28" s="84" t="n"/>
      <c r="E28" s="84" t="n"/>
      <c r="F28" s="84" t="n"/>
      <c r="G28" s="83" t="n"/>
      <c r="H28" s="51" t="n"/>
      <c r="I28" s="84" t="n"/>
      <c r="J28" s="83" t="n"/>
      <c r="K28" s="2" t="n"/>
    </row>
    <row r="29">
      <c r="H29" s="51" t="inlineStr">
        <is>
          <t>TOTAL</t>
        </is>
      </c>
      <c r="I29" s="84" t="n"/>
      <c r="J29" s="83" t="n"/>
      <c r="K29" s="7">
        <f>SUM(K28:K28)</f>
        <v/>
      </c>
    </row>
    <row r="31">
      <c r="C31" s="54" t="inlineStr">
        <is>
          <t>C1. Justificări pentru indicatorul GRANTURI (perspectiva D)</t>
        </is>
      </c>
    </row>
    <row r="33">
      <c r="B33" s="2" t="inlineStr">
        <is>
          <t>Nr.crt.</t>
        </is>
      </c>
      <c r="C33" s="51" t="inlineStr">
        <is>
          <t>Explicație / Referințe</t>
        </is>
      </c>
      <c r="D33" s="84" t="n"/>
      <c r="E33" s="84" t="n"/>
      <c r="F33" s="84" t="n"/>
      <c r="G33" s="83" t="n"/>
      <c r="H33" s="51" t="inlineStr">
        <is>
          <t>Categorie</t>
        </is>
      </c>
      <c r="I33" s="84" t="n"/>
      <c r="J33" s="83" t="n"/>
      <c r="K33" s="2" t="inlineStr">
        <is>
          <t>Punctaj</t>
        </is>
      </c>
    </row>
    <row r="34">
      <c r="B34" s="2" t="n">
        <v>1</v>
      </c>
      <c r="C34" s="67" t="n"/>
      <c r="D34" s="84" t="n"/>
      <c r="E34" s="84" t="n"/>
      <c r="F34" s="84" t="n"/>
      <c r="G34" s="83" t="n"/>
      <c r="H34" s="51" t="n"/>
      <c r="I34" s="84" t="n"/>
      <c r="J34" s="83" t="n"/>
      <c r="K34" s="2" t="n"/>
    </row>
    <row r="35">
      <c r="H35" s="51" t="inlineStr">
        <is>
          <t>TOTAL</t>
        </is>
      </c>
      <c r="I35" s="84" t="n"/>
      <c r="J35" s="83" t="n"/>
      <c r="K35" s="7">
        <f>SUM(K34:K34)</f>
        <v/>
      </c>
    </row>
    <row r="37">
      <c r="C37" s="54" t="inlineStr">
        <is>
          <t>C1. Justificări pentru indicatorul MEMBRU COMITET STIINTIFIC (perspectiva D)</t>
        </is>
      </c>
    </row>
    <row r="39">
      <c r="B39" s="2" t="inlineStr">
        <is>
          <t>Nr.crt.</t>
        </is>
      </c>
      <c r="C39" s="51" t="inlineStr">
        <is>
          <t>Explicație / Referințe</t>
        </is>
      </c>
      <c r="D39" s="84" t="n"/>
      <c r="E39" s="84" t="n"/>
      <c r="F39" s="84" t="n"/>
      <c r="G39" s="83" t="n"/>
      <c r="H39" s="51" t="inlineStr">
        <is>
          <t>Categorie</t>
        </is>
      </c>
      <c r="I39" s="84" t="n"/>
      <c r="J39" s="83" t="n"/>
      <c r="K39" s="2" t="inlineStr">
        <is>
          <t>Punctaj</t>
        </is>
      </c>
    </row>
    <row r="40" ht="15.75" customHeight="1">
      <c r="B40" s="2" t="n">
        <v>1</v>
      </c>
      <c r="C40" s="66" t="n"/>
      <c r="D40" s="84" t="n"/>
      <c r="E40" s="84" t="n"/>
      <c r="F40" s="84" t="n"/>
      <c r="G40" s="83" t="n"/>
      <c r="H40" s="51" t="n"/>
      <c r="I40" s="84" t="n"/>
      <c r="J40" s="83" t="n"/>
      <c r="K40" s="20" t="n"/>
    </row>
    <row r="41">
      <c r="H41" s="72" t="inlineStr">
        <is>
          <t>TOTAL</t>
        </is>
      </c>
      <c r="I41" s="87" t="n"/>
      <c r="J41" s="88" t="n"/>
      <c r="K41" s="7">
        <f>SUM(K40)</f>
        <v/>
      </c>
    </row>
    <row r="43">
      <c r="C43" s="54" t="inlineStr">
        <is>
          <t>C1. Justificări pentru indicatorul ORGANIZARE EVENIMENTE (perspectiva D)</t>
        </is>
      </c>
    </row>
    <row r="45">
      <c r="B45" s="2" t="inlineStr">
        <is>
          <t>Nr.crt.</t>
        </is>
      </c>
      <c r="C45" s="51" t="inlineStr">
        <is>
          <t>Explicație / Referințe</t>
        </is>
      </c>
      <c r="D45" s="84" t="n"/>
      <c r="E45" s="84" t="n"/>
      <c r="F45" s="84" t="n"/>
      <c r="G45" s="83" t="n"/>
      <c r="H45" s="51" t="inlineStr">
        <is>
          <t>Categorie</t>
        </is>
      </c>
      <c r="I45" s="84" t="n"/>
      <c r="J45" s="83" t="n"/>
      <c r="K45" s="2" t="inlineStr">
        <is>
          <t>Punctaj</t>
        </is>
      </c>
    </row>
    <row r="46">
      <c r="B46" s="2" t="n">
        <v>1</v>
      </c>
      <c r="C46" s="86" t="n"/>
      <c r="D46" s="84" t="n"/>
      <c r="E46" s="84" t="n"/>
      <c r="F46" s="84" t="n"/>
      <c r="G46" s="83" t="n"/>
      <c r="H46" s="51" t="n"/>
      <c r="I46" s="84" t="n"/>
      <c r="J46" s="83" t="n"/>
      <c r="K46" s="2" t="n"/>
    </row>
    <row r="47">
      <c r="H47" s="51" t="inlineStr">
        <is>
          <t>TOTAL</t>
        </is>
      </c>
      <c r="I47" s="84" t="n"/>
      <c r="J47" s="83" t="n"/>
      <c r="K47" s="7">
        <f>SUM(K46:K46)</f>
        <v/>
      </c>
    </row>
    <row r="49">
      <c r="C49" s="54" t="inlineStr">
        <is>
          <t>C1. Justificări pentru indicatorul KEYNOTE/INVITED SPEAKER (perspectiva D)</t>
        </is>
      </c>
    </row>
    <row r="51">
      <c r="B51" s="2" t="inlineStr">
        <is>
          <t>Nr.crt.</t>
        </is>
      </c>
      <c r="C51" s="51" t="inlineStr">
        <is>
          <t>Explicație / Referințe</t>
        </is>
      </c>
      <c r="D51" s="84" t="n"/>
      <c r="E51" s="84" t="n"/>
      <c r="F51" s="84" t="n"/>
      <c r="G51" s="83" t="n"/>
      <c r="H51" s="51" t="inlineStr">
        <is>
          <t>Categorie</t>
        </is>
      </c>
      <c r="I51" s="84" t="n"/>
      <c r="J51" s="83" t="n"/>
      <c r="K51" s="2" t="inlineStr">
        <is>
          <t>Punctaj</t>
        </is>
      </c>
    </row>
    <row r="52">
      <c r="B52" s="2" t="n">
        <v>1</v>
      </c>
      <c r="C52" s="66" t="n"/>
      <c r="D52" s="84" t="n"/>
      <c r="E52" s="84" t="n"/>
      <c r="F52" s="84" t="n"/>
      <c r="G52" s="83" t="n"/>
      <c r="H52" s="51" t="n"/>
      <c r="I52" s="84" t="n"/>
      <c r="J52" s="83" t="n"/>
      <c r="K52" s="2" t="n"/>
    </row>
    <row r="53">
      <c r="H53" s="51" t="inlineStr">
        <is>
          <t>TOTAL</t>
        </is>
      </c>
      <c r="I53" s="84" t="n"/>
      <c r="J53" s="83" t="n"/>
      <c r="K53" s="7">
        <f>SUM(K52:K52)</f>
        <v/>
      </c>
    </row>
    <row r="55">
      <c r="C55" s="54" t="inlineStr">
        <is>
          <t>C1. Justificări pentru indicatorul Consolidarea de echipe (perspectiva D)</t>
        </is>
      </c>
    </row>
    <row r="57">
      <c r="B57" s="2" t="inlineStr">
        <is>
          <t>Nr.crt.</t>
        </is>
      </c>
      <c r="C57" s="51" t="inlineStr">
        <is>
          <t>Explicație / Referințe</t>
        </is>
      </c>
      <c r="D57" s="84" t="n"/>
      <c r="E57" s="84" t="n"/>
      <c r="F57" s="84" t="n"/>
      <c r="G57" s="83" t="n"/>
      <c r="H57" s="51" t="inlineStr">
        <is>
          <t>Categorie</t>
        </is>
      </c>
      <c r="I57" s="84" t="n"/>
      <c r="J57" s="83" t="n"/>
      <c r="K57" s="2" t="inlineStr">
        <is>
          <t>Punctaj</t>
        </is>
      </c>
    </row>
    <row r="58">
      <c r="B58" s="2" t="n">
        <v>1</v>
      </c>
      <c r="C58" s="51" t="n"/>
      <c r="D58" s="84" t="n"/>
      <c r="E58" s="84" t="n"/>
      <c r="F58" s="84" t="n"/>
      <c r="G58" s="83" t="n"/>
      <c r="H58" s="68" t="n"/>
      <c r="I58" s="84" t="n"/>
      <c r="J58" s="83" t="n"/>
      <c r="K58" s="2" t="n"/>
    </row>
    <row r="59">
      <c r="H59" s="51" t="inlineStr">
        <is>
          <t>TOTAL</t>
        </is>
      </c>
      <c r="I59" s="84" t="n"/>
      <c r="J59" s="83" t="n"/>
      <c r="K59" s="7">
        <f>SUM(K58:K58)</f>
        <v/>
      </c>
    </row>
    <row r="61">
      <c r="C61" s="54" t="inlineStr">
        <is>
          <t>C1. Justificări pentru indicatorul COMISII DOCTORAT (perspectiva D)</t>
        </is>
      </c>
    </row>
    <row r="63">
      <c r="B63" s="2" t="inlineStr">
        <is>
          <t>Nr.crt.</t>
        </is>
      </c>
      <c r="C63" s="51" t="inlineStr">
        <is>
          <t>Explicație / Referințe</t>
        </is>
      </c>
      <c r="D63" s="84" t="n"/>
      <c r="E63" s="84" t="n"/>
      <c r="F63" s="84" t="n"/>
      <c r="G63" s="83" t="n"/>
      <c r="H63" s="51" t="inlineStr">
        <is>
          <t>Categorie</t>
        </is>
      </c>
      <c r="I63" s="84" t="n"/>
      <c r="J63" s="83" t="n"/>
      <c r="K63" s="2" t="inlineStr">
        <is>
          <t>Punctaj</t>
        </is>
      </c>
    </row>
    <row r="64">
      <c r="B64" s="2" t="n">
        <v>1</v>
      </c>
      <c r="C64" s="66" t="n"/>
      <c r="D64" s="84" t="n"/>
      <c r="E64" s="84" t="n"/>
      <c r="F64" s="84" t="n"/>
      <c r="G64" s="83" t="n"/>
      <c r="H64" s="51" t="n"/>
      <c r="I64" s="84" t="n"/>
      <c r="J64" s="83" t="n"/>
      <c r="K64" s="2" t="n"/>
    </row>
    <row r="65">
      <c r="H65" s="51" t="inlineStr">
        <is>
          <t>TOTAL</t>
        </is>
      </c>
      <c r="I65" s="84" t="n"/>
      <c r="J65" s="83" t="n"/>
      <c r="K65" s="7">
        <f>SUM(K64:K64)</f>
        <v/>
      </c>
    </row>
    <row r="67">
      <c r="C67" s="54" t="inlineStr">
        <is>
          <t>C1. Justificări pentru indicatorul POZITII CONDUCERE(perspectiva D)</t>
        </is>
      </c>
    </row>
    <row r="69">
      <c r="B69" s="2" t="inlineStr">
        <is>
          <t>Nr.crt.</t>
        </is>
      </c>
      <c r="C69" s="51" t="inlineStr">
        <is>
          <t>Explicație / Referințe</t>
        </is>
      </c>
      <c r="D69" s="84" t="n"/>
      <c r="E69" s="84" t="n"/>
      <c r="F69" s="84" t="n"/>
      <c r="G69" s="83" t="n"/>
      <c r="H69" s="51" t="inlineStr">
        <is>
          <t>Categorie</t>
        </is>
      </c>
      <c r="I69" s="84" t="n"/>
      <c r="J69" s="83" t="n"/>
      <c r="K69" s="2" t="inlineStr">
        <is>
          <t>Punctaj</t>
        </is>
      </c>
    </row>
    <row r="70">
      <c r="B70" s="2" t="n">
        <v>1</v>
      </c>
      <c r="C70" s="51" t="n"/>
      <c r="D70" s="84" t="n"/>
      <c r="E70" s="84" t="n"/>
      <c r="F70" s="84" t="n"/>
      <c r="G70" s="83" t="n"/>
      <c r="H70" s="51" t="n"/>
      <c r="I70" s="84" t="n"/>
      <c r="J70" s="83" t="n"/>
      <c r="K70" s="2" t="n"/>
    </row>
    <row r="71">
      <c r="H71" s="51" t="inlineStr">
        <is>
          <t>TOTAL</t>
        </is>
      </c>
      <c r="I71" s="84" t="n"/>
      <c r="J71" s="83" t="n"/>
      <c r="K71" s="7">
        <f>SUM(K70:K70)</f>
        <v/>
      </c>
    </row>
    <row r="73">
      <c r="C73" s="54" t="inlineStr">
        <is>
          <t>C1. Justificări pentru indicatorul PREMII (perspectiva D)</t>
        </is>
      </c>
    </row>
    <row r="75">
      <c r="B75" s="2" t="inlineStr">
        <is>
          <t>Nr.crt.</t>
        </is>
      </c>
      <c r="C75" s="51" t="inlineStr">
        <is>
          <t>Explicație / Referințe</t>
        </is>
      </c>
      <c r="D75" s="84" t="n"/>
      <c r="E75" s="84" t="n"/>
      <c r="F75" s="84" t="n"/>
      <c r="G75" s="83" t="n"/>
      <c r="H75" s="51" t="inlineStr">
        <is>
          <t>Categorie</t>
        </is>
      </c>
      <c r="I75" s="84" t="n"/>
      <c r="J75" s="83" t="n"/>
      <c r="K75" s="2" t="inlineStr">
        <is>
          <t>Punctaj</t>
        </is>
      </c>
    </row>
    <row r="76">
      <c r="B76" s="2" t="n">
        <v>1</v>
      </c>
      <c r="C76" s="67" t="n"/>
      <c r="D76" s="84" t="n"/>
      <c r="E76" s="84" t="n"/>
      <c r="F76" s="84" t="n"/>
      <c r="G76" s="83" t="n"/>
      <c r="H76" s="51" t="n"/>
      <c r="I76" s="84" t="n"/>
      <c r="J76" s="83" t="n"/>
      <c r="K76" s="2" t="n"/>
    </row>
    <row r="77">
      <c r="H77" s="51" t="inlineStr">
        <is>
          <t>TOTAL</t>
        </is>
      </c>
      <c r="I77" s="84" t="n"/>
      <c r="J77" s="83" t="n"/>
      <c r="K77" s="7">
        <f>SUM(K76:K76)</f>
        <v/>
      </c>
    </row>
  </sheetData>
  <mergeCells count="71">
    <mergeCell ref="H51:J51"/>
    <mergeCell ref="H46:J46"/>
    <mergeCell ref="C34:G34"/>
    <mergeCell ref="C58:G58"/>
    <mergeCell ref="C15:G15"/>
    <mergeCell ref="H52:J52"/>
    <mergeCell ref="C33:G33"/>
    <mergeCell ref="H70:J70"/>
    <mergeCell ref="C45:G45"/>
    <mergeCell ref="H17:J17"/>
    <mergeCell ref="H69:J69"/>
    <mergeCell ref="H11:J11"/>
    <mergeCell ref="H45:J45"/>
    <mergeCell ref="C64:G64"/>
    <mergeCell ref="C73:J73"/>
    <mergeCell ref="H16:J16"/>
    <mergeCell ref="H28:J28"/>
    <mergeCell ref="H22:J22"/>
    <mergeCell ref="C10:G10"/>
    <mergeCell ref="C16:G16"/>
    <mergeCell ref="H57:J57"/>
    <mergeCell ref="H75:J75"/>
    <mergeCell ref="C63:G63"/>
    <mergeCell ref="H65:J65"/>
    <mergeCell ref="H47:J47"/>
    <mergeCell ref="C25:J25"/>
    <mergeCell ref="H27:J27"/>
    <mergeCell ref="H39:J39"/>
    <mergeCell ref="C75:G75"/>
    <mergeCell ref="C55:J55"/>
    <mergeCell ref="C22:G22"/>
    <mergeCell ref="C40:G40"/>
    <mergeCell ref="C9:G9"/>
    <mergeCell ref="C31:J31"/>
    <mergeCell ref="H77:J77"/>
    <mergeCell ref="H15:J15"/>
    <mergeCell ref="H71:J71"/>
    <mergeCell ref="H33:J33"/>
    <mergeCell ref="C21:G21"/>
    <mergeCell ref="H76:J76"/>
    <mergeCell ref="C43:J43"/>
    <mergeCell ref="C46:G46"/>
    <mergeCell ref="H23:J23"/>
    <mergeCell ref="C51:G51"/>
    <mergeCell ref="C76:G76"/>
    <mergeCell ref="C27:G27"/>
    <mergeCell ref="H35:J35"/>
    <mergeCell ref="H21:J21"/>
    <mergeCell ref="C39:G39"/>
    <mergeCell ref="H53:J53"/>
    <mergeCell ref="C52:G52"/>
    <mergeCell ref="C61:J61"/>
    <mergeCell ref="C70:G70"/>
    <mergeCell ref="H29:J29"/>
    <mergeCell ref="H63:J63"/>
    <mergeCell ref="H10:J10"/>
    <mergeCell ref="C7:J7"/>
    <mergeCell ref="C67:J67"/>
    <mergeCell ref="H41:J41"/>
    <mergeCell ref="C28:G28"/>
    <mergeCell ref="C57:G57"/>
    <mergeCell ref="H58:J58"/>
    <mergeCell ref="H40:J40"/>
    <mergeCell ref="H9:J9"/>
    <mergeCell ref="C13:J13"/>
    <mergeCell ref="C37:J37"/>
    <mergeCell ref="H34:J34"/>
    <mergeCell ref="C69:G69"/>
    <mergeCell ref="H64:J64"/>
    <mergeCell ref="H59:J59"/>
    <mergeCell ref="C49:J49"/>
  </mergeCells>
  <pageMargins left="0.7" right="0.7" top="0.75" bottom="0.75" header="0.3" footer="0.3"/>
  <pageSetup orientation="landscape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Fortis</dc:creator>
  <dcterms:created xmlns:dcterms="http://purl.org/dc/terms/" xmlns:xsi="http://www.w3.org/2001/XMLSchema-instance" xsi:type="dcterms:W3CDTF">2015-03-04T18:26:13Z</dcterms:created>
  <dcterms:modified xmlns:dcterms="http://purl.org/dc/terms/" xmlns:xsi="http://www.w3.org/2001/XMLSchema-instance" xsi:type="dcterms:W3CDTF">2026-07-04T18:02:47Z</dcterms:modified>
  <cp:lastModifiedBy>Spataru Florin</cp:lastModifiedBy>
  <cp:lastPrinted>2015-03-05T07:54:31Z</cp:lastPrinted>
</cp:coreProperties>
</file>